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rlos Granadeño\Desktop\"/>
    </mc:Choice>
  </mc:AlternateContent>
  <xr:revisionPtr revIDLastSave="0" documentId="13_ncr:1_{B5B8C186-7CBA-4034-B001-D4DDE44B4DB8}" xr6:coauthVersionLast="47" xr6:coauthVersionMax="47" xr10:uidLastSave="{00000000-0000-0000-0000-000000000000}"/>
  <bookViews>
    <workbookView xWindow="-109" yWindow="-109" windowWidth="26301" windowHeight="14169" activeTab="3" xr2:uid="{AE70801A-33A5-4925-BBE7-C9C9F2B37F53}"/>
  </bookViews>
  <sheets>
    <sheet name="ticket_mantto" sheetId="1" r:id="rId1"/>
    <sheet name="correos" sheetId="3" r:id="rId2"/>
    <sheet name="Tickets Febrebro" sheetId="4" r:id="rId3"/>
    <sheet name="Tickets Marzo" sheetId="5" r:id="rId4"/>
  </sheets>
  <definedNames>
    <definedName name="DatosExternos_1" localSheetId="1" hidden="1">'correos'!$A$1:$B$107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5" l="1"/>
  <c r="J6" i="5"/>
  <c r="J7" i="5" l="1"/>
  <c r="J6" i="4" l="1"/>
  <c r="J5" i="4"/>
  <c r="J7" i="4" l="1"/>
  <c r="C15" i="1"/>
  <c r="C11" i="1"/>
  <c r="C23" i="1" l="1"/>
  <c r="C8" i="1"/>
  <c r="C25" i="1"/>
  <c r="C19" i="1"/>
  <c r="C22" i="1"/>
  <c r="C4" i="1"/>
  <c r="C9" i="1"/>
  <c r="C14" i="1"/>
  <c r="C2" i="1"/>
  <c r="C3" i="1"/>
  <c r="C16" i="1"/>
  <c r="C10" i="1"/>
  <c r="C13" i="1"/>
  <c r="C7" i="1"/>
  <c r="C12" i="1"/>
  <c r="C6" i="1"/>
  <c r="C27" i="1"/>
  <c r="C18" i="1"/>
  <c r="C24" i="1"/>
  <c r="C28" i="1"/>
  <c r="C21" i="1"/>
  <c r="C17" i="1"/>
  <c r="C5" i="1"/>
  <c r="C26" i="1"/>
  <c r="C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62D28B-7352-489F-B5EC-13EC5CEFAA64}" keepAlive="1" name="Consulta - 72000274292_tickets-November-17-2025-16_31" description="Conexión a la consulta '72000274292_tickets-November-17-2025-16_31' en el libro." type="5" refreshedVersion="0" background="1">
    <dbPr connection="Provider=Microsoft.Mashup.OleDb.1;Data Source=$Workbook$;Location=72000274292_tickets-November-17-2025-16_31;Extended Properties=&quot;&quot;" command="SELECT * FROM [72000274292_tickets-November-17-2025-16_31]"/>
  </connection>
  <connection id="2" xr16:uid="{FB5DEF08-D2D8-4A8A-BAE9-399052D30A03}" keepAlive="1" name="Consulta - 72000276515_tickets-December-01-2025-14_58" description="Conexión a la consulta '72000276515_tickets-December-01-2025-14_58' en el libro." type="5" refreshedVersion="0" background="1">
    <dbPr connection="Provider=Microsoft.Mashup.OleDb.1;Data Source=$Workbook$;Location=72000276515_tickets-December-01-2025-14_58;Extended Properties=&quot;&quot;" command="SELECT * FROM [72000276515_tickets-December-01-2025-14_58]"/>
  </connection>
  <connection id="3" xr16:uid="{DC1E6BDB-F5FC-4FB1-B782-12652F327172}" keepAlive="1" name="Consulta - correos" description="Conexión a la consulta 'correos' en el libro." type="5" refreshedVersion="8" background="1" saveData="1">
    <dbPr connection="Provider=Microsoft.Mashup.OleDb.1;Data Source=$Workbook$;Location=correos;Extended Properties=&quot;&quot;" command="SELECT * FROM [correos]"/>
  </connection>
</connections>
</file>

<file path=xl/sharedStrings.xml><?xml version="1.0" encoding="utf-8"?>
<sst xmlns="http://schemas.openxmlformats.org/spreadsheetml/2006/main" count="511" uniqueCount="258">
  <si>
    <t># TICKET</t>
  </si>
  <si>
    <t>USUARIO</t>
  </si>
  <si>
    <t>Carmen Solano</t>
  </si>
  <si>
    <t>Benjamín Ascencio</t>
  </si>
  <si>
    <t>Víctor Barahona</t>
  </si>
  <si>
    <t>Manuel Lizama</t>
  </si>
  <si>
    <t>Roberto Cisneros</t>
  </si>
  <si>
    <t>Jorge Contreras</t>
  </si>
  <si>
    <t>Manuel Girón</t>
  </si>
  <si>
    <t>Eugenia Sánchez</t>
  </si>
  <si>
    <t>Alejandra Campos</t>
  </si>
  <si>
    <t>Emilio Beltrán</t>
  </si>
  <si>
    <t>Helen Arévalo</t>
  </si>
  <si>
    <t>Sandra Juárez</t>
  </si>
  <si>
    <t>Karla Cortez</t>
  </si>
  <si>
    <t>CORREO</t>
  </si>
  <si>
    <t>kayala@impresoralaunion.com</t>
  </si>
  <si>
    <t>achafoya@impresoralaunion.com</t>
  </si>
  <si>
    <t>holiva@impresoralaunion.com</t>
  </si>
  <si>
    <t>impresion@impresoralaunion.com</t>
  </si>
  <si>
    <t>hmonge@impresoralaunion.com</t>
  </si>
  <si>
    <t>jcontreras@impresoralaunion.com</t>
  </si>
  <si>
    <t>ebarrera@impresoralaunion.com</t>
  </si>
  <si>
    <t>esanchez@impresoralaunion.com</t>
  </si>
  <si>
    <t>vbarahona@impresoralaunion.com</t>
  </si>
  <si>
    <t>jmarroquin@impresoralaunion.com</t>
  </si>
  <si>
    <t>kcortez@impresoralaunion.com</t>
  </si>
  <si>
    <t>rtorres@impresoralaunion.com</t>
  </si>
  <si>
    <t>mantenimiento@impresoralaunion.com</t>
  </si>
  <si>
    <t>daparicio@impresoralaunion.com</t>
  </si>
  <si>
    <t>hcastro@impresoralaunion.com</t>
  </si>
  <si>
    <t>supervisioncalidad@impresoralaunion.com</t>
  </si>
  <si>
    <t>jmdutriz@impresoralaunion.com</t>
  </si>
  <si>
    <t>supervision@impresoralaunion.com</t>
  </si>
  <si>
    <t>mlizama@impresoralaunion.com</t>
  </si>
  <si>
    <t>mgarcia@impresoralaunion.com</t>
  </si>
  <si>
    <t>wtaura@impresoralaunion.com</t>
  </si>
  <si>
    <t>mtorres@impresoralaunion.com</t>
  </si>
  <si>
    <t>mario.perez@impresoralaunion.com</t>
  </si>
  <si>
    <t>rochoa@impresoralaunion.com</t>
  </si>
  <si>
    <t>cotizaciones@impresoralaunion.com</t>
  </si>
  <si>
    <t>pmenendez@impresoralaunion.com</t>
  </si>
  <si>
    <t>vgvalladares@impresoralaunion.com</t>
  </si>
  <si>
    <t>jayala@impresoralaunion.com</t>
  </si>
  <si>
    <t>alejandra.campos@impresoralaunion.com</t>
  </si>
  <si>
    <t>despachos@impresoralaunion.com</t>
  </si>
  <si>
    <t>jwhernandez@impresoralaunion.com</t>
  </si>
  <si>
    <t>sistemas@impresoralaunion.com</t>
  </si>
  <si>
    <t>Cecibel Mendoza</t>
  </si>
  <si>
    <t>cmendoza@impresoralaunion.com</t>
  </si>
  <si>
    <t>bodegamp@impresoralaunion.com</t>
  </si>
  <si>
    <t>René Castillo</t>
  </si>
  <si>
    <t>rcastillo@impresoralaunion.com</t>
  </si>
  <si>
    <t>kefigenio@impresoralaunion.com</t>
  </si>
  <si>
    <t>rafael.mena@impresoralaunion.com</t>
  </si>
  <si>
    <t>ebeltran@impresoralaunion.com</t>
  </si>
  <si>
    <t>w.morel@impresoralaunion.com</t>
  </si>
  <si>
    <t>alexander.fogelbach@impresoralaunion.com</t>
  </si>
  <si>
    <t>jhoseline.erazo@impresoralaunion.com</t>
  </si>
  <si>
    <t>william.navarrete@impresoralaunion.com</t>
  </si>
  <si>
    <t>leonardo.vasquez@impresoralaunion.com</t>
  </si>
  <si>
    <t>emely.ramos@impresoralaunion.com</t>
  </si>
  <si>
    <t>m.flores@impresoralaunion.com</t>
  </si>
  <si>
    <t>rosa.monge@impresoralaunion.com</t>
  </si>
  <si>
    <t>carmen.solano@impresoralaunion.com</t>
  </si>
  <si>
    <t>ever.munoz@impresoralaunion.com</t>
  </si>
  <si>
    <t>Herbert Hidalgo</t>
  </si>
  <si>
    <t>herbert.hidalgo@impresoralaunion.com</t>
  </si>
  <si>
    <t>beatriz.ramirez@impresoralaunion.com</t>
  </si>
  <si>
    <t>katya.flores@impresoralaunion.com</t>
  </si>
  <si>
    <t>sandra.juarez@impresoralaunion.com</t>
  </si>
  <si>
    <t>Joana Borja</t>
  </si>
  <si>
    <t>joana.borja@impresoralaunion.com</t>
  </si>
  <si>
    <t>zulem.marin@impresoralaunion.com</t>
  </si>
  <si>
    <t>david.rodriguez@impresoralaunion.com</t>
  </si>
  <si>
    <t>benjamin.ascencio@impresoralaunion.com</t>
  </si>
  <si>
    <t>nancy.beltran@impresoralaunion.com</t>
  </si>
  <si>
    <t>alberto.lopez@impresoralaunion.com</t>
  </si>
  <si>
    <t>enmanuel.cruz@impresoralaunion.com</t>
  </si>
  <si>
    <t>alfredo.perez@impresoralaunion.com</t>
  </si>
  <si>
    <t>bony.pena@impresoralaunion.com</t>
  </si>
  <si>
    <t>kassandra.hernandez@impresoralaunion.com</t>
  </si>
  <si>
    <t>nelson.bonilla@impresoralaunion.com</t>
  </si>
  <si>
    <t>juan.vasquez@impresoralaunion.com</t>
  </si>
  <si>
    <t>roberto.cisneros@impresoralaunion.com</t>
  </si>
  <si>
    <t>luis.rodriguez@impresoralaunion.com</t>
  </si>
  <si>
    <t>fernando.lopez@impresoralaunion.com</t>
  </si>
  <si>
    <t>balmore.carbajal@impresoralaunion.com</t>
  </si>
  <si>
    <t>Kevin Ayala</t>
  </si>
  <si>
    <t>Andrea Chafoya</t>
  </si>
  <si>
    <t>Hilda Oliva</t>
  </si>
  <si>
    <t>Eduardo Barrera</t>
  </si>
  <si>
    <t>Ricardo Torres</t>
  </si>
  <si>
    <t>Ricardo Rivera</t>
  </si>
  <si>
    <t>Héctor Castro</t>
  </si>
  <si>
    <t>José Manuel Dutriz</t>
  </si>
  <si>
    <t>Mauricio Garcia</t>
  </si>
  <si>
    <t>Wilfredo Taura</t>
  </si>
  <si>
    <t>Marcelo Torres</t>
  </si>
  <si>
    <t>Rubén Ochoa</t>
  </si>
  <si>
    <t>Verónica Valladares</t>
  </si>
  <si>
    <t>Marcelo Ayala</t>
  </si>
  <si>
    <t>Jonathan Martínez</t>
  </si>
  <si>
    <t>Isaias Yanes</t>
  </si>
  <si>
    <t>Karla Efigenio</t>
  </si>
  <si>
    <t>Rafael Mena</t>
  </si>
  <si>
    <t>Alexander Fogelbach</t>
  </si>
  <si>
    <t>Jhoseline Erazo</t>
  </si>
  <si>
    <t>William Navarrete</t>
  </si>
  <si>
    <t>Emely Ramos</t>
  </si>
  <si>
    <t>Marcela Flores</t>
  </si>
  <si>
    <t>Rosa Monge</t>
  </si>
  <si>
    <t>Ever Muñoz</t>
  </si>
  <si>
    <t>Beatriz Ramírez</t>
  </si>
  <si>
    <t>nombre</t>
  </si>
  <si>
    <t>correo</t>
  </si>
  <si>
    <t>Víctor Portillo</t>
  </si>
  <si>
    <t>Mario Pérez</t>
  </si>
  <si>
    <t>ETIQUETA</t>
  </si>
  <si>
    <t>Mantenimiento Preventivo</t>
  </si>
  <si>
    <t>Herbert Monge</t>
  </si>
  <si>
    <t>Juan Luis Marroquín</t>
  </si>
  <si>
    <t>Darwin Muñoz</t>
  </si>
  <si>
    <t>Wilfredo Hernández</t>
  </si>
  <si>
    <t>Willie Morel</t>
  </si>
  <si>
    <t>Katya Flores</t>
  </si>
  <si>
    <t>Zulem Marín</t>
  </si>
  <si>
    <t>David Rodriguez</t>
  </si>
  <si>
    <t>Nancy Beltran</t>
  </si>
  <si>
    <t>Alberto Lopez</t>
  </si>
  <si>
    <t>Emmanuel Cruz</t>
  </si>
  <si>
    <t>Alfredo Pérez</t>
  </si>
  <si>
    <t>Bony Peña</t>
  </si>
  <si>
    <t>Kassandra Hernández</t>
  </si>
  <si>
    <t>Juan Vásquez</t>
  </si>
  <si>
    <t>Fernando López</t>
  </si>
  <si>
    <t>Balmore Carbajal</t>
  </si>
  <si>
    <t>Emmanuel Candray</t>
  </si>
  <si>
    <t>Carlos Montoya</t>
  </si>
  <si>
    <t>destructural@impresoralaunion.com</t>
  </si>
  <si>
    <t>Esmeralda de Montenegro</t>
  </si>
  <si>
    <t>edemontenegro@impresoralaunion.com</t>
  </si>
  <si>
    <t>Leonardo Vásquez</t>
  </si>
  <si>
    <t>Luis Rodríguez</t>
  </si>
  <si>
    <t>Nelson Bonilla</t>
  </si>
  <si>
    <t>Pablo Menéndez</t>
  </si>
  <si>
    <t>Patricia Castro</t>
  </si>
  <si>
    <t>Inspectoras de Calidad</t>
  </si>
  <si>
    <t>victor.portillo@impresoralaunion.com</t>
  </si>
  <si>
    <t>Mario Hernández</t>
  </si>
  <si>
    <t>mario.hernandez@impresoralaunion.com</t>
  </si>
  <si>
    <t>Mario Feliz Hernández</t>
  </si>
  <si>
    <t>mhernandez@impresoralaunion.com</t>
  </si>
  <si>
    <t>Manuel Giron</t>
  </si>
  <si>
    <t>Comercial</t>
  </si>
  <si>
    <t>Eugenia Sanchez</t>
  </si>
  <si>
    <t>Hector Castro</t>
  </si>
  <si>
    <t>Darwin Aparicio</t>
  </si>
  <si>
    <t>Enmanuel Candray</t>
  </si>
  <si>
    <t>Carolina Olivar</t>
  </si>
  <si>
    <t>Supervisores</t>
  </si>
  <si>
    <t>Inspectoras Calidad</t>
  </si>
  <si>
    <t>Pegadora</t>
  </si>
  <si>
    <t>Troqueles</t>
  </si>
  <si>
    <t>LT_Extrusora</t>
  </si>
  <si>
    <t>Bodega</t>
  </si>
  <si>
    <t>Sandra Juarez</t>
  </si>
  <si>
    <t>alexandra.padilla@impresoralaunion.com</t>
  </si>
  <si>
    <t>Alexandra Padilla</t>
  </si>
  <si>
    <t>carolina.olivar@impresoralaunion.com</t>
  </si>
  <si>
    <t>Carlos Granadeño</t>
  </si>
  <si>
    <t>carlos.granadeno@impresoralaunion.com</t>
  </si>
  <si>
    <t>Digitadores</t>
  </si>
  <si>
    <t>Ticket</t>
  </si>
  <si>
    <t>Nombre</t>
  </si>
  <si>
    <t>Estado</t>
  </si>
  <si>
    <t>Programacion</t>
  </si>
  <si>
    <t xml:space="preserve">jueves 05/02/2026 de 10:00 am a 12: 00 md </t>
  </si>
  <si>
    <t>Resuelto</t>
  </si>
  <si>
    <t>N°</t>
  </si>
  <si>
    <t>viernes 6/02/2026 a partir de las 3:00pm</t>
  </si>
  <si>
    <t>Cecibel Mendoza (Impresor)</t>
  </si>
  <si>
    <t>Eugenia Sanchez (Impresor)</t>
  </si>
  <si>
    <t>Comercial (Impresor)</t>
  </si>
  <si>
    <t>Bodega (Impresor)</t>
  </si>
  <si>
    <t>Miercoles 3/02/2026 a partir 2:00 pm</t>
  </si>
  <si>
    <t>jueves 05/02/2026</t>
  </si>
  <si>
    <t xml:space="preserve">jueves 05/02/2026 a las 3:00pm </t>
  </si>
  <si>
    <t>Realizados</t>
  </si>
  <si>
    <t>Faltantes</t>
  </si>
  <si>
    <t>Total</t>
  </si>
  <si>
    <t>Ticket´s</t>
  </si>
  <si>
    <t>viernes 6/02/2026</t>
  </si>
  <si>
    <t>Vierenes 06-02-2026 a las 2:00 pm</t>
  </si>
  <si>
    <t>resuelto</t>
  </si>
  <si>
    <t>mantenimiento en el lugar</t>
  </si>
  <si>
    <t>Whatsapp</t>
  </si>
  <si>
    <t>contacto</t>
  </si>
  <si>
    <t>Correo</t>
  </si>
  <si>
    <t>martes 10-02-26 a las 4:00 pm</t>
  </si>
  <si>
    <t>miercoles 11 de febrero 2026 por la mañana</t>
  </si>
  <si>
    <t>Mario Perez</t>
  </si>
  <si>
    <t>Jueves 19 de febrero 2026  a las 10:00 am.</t>
  </si>
  <si>
    <t>Viernes 13-02-26 a las4:00 pm</t>
  </si>
  <si>
    <t>Martes 10-02-26 a las 3:00pm</t>
  </si>
  <si>
    <t>Martes 11/02/26  a las 9:00 pm</t>
  </si>
  <si>
    <t xml:space="preserve">Miercoles 11-02-26 4:00 pm </t>
  </si>
  <si>
    <t>Proxima semana 16-02-24</t>
  </si>
  <si>
    <t>viernes 13/02/2026 a partir de las 11:00 a.m.</t>
  </si>
  <si>
    <t>Viernes 13-02-26 a 7:40 am</t>
  </si>
  <si>
    <t>Martes 17-02-26</t>
  </si>
  <si>
    <t xml:space="preserve">Lunes 16-02-26 por la tarde </t>
  </si>
  <si>
    <t xml:space="preserve">Lunes 16-02-26 </t>
  </si>
  <si>
    <t>Vcitor Barahona</t>
  </si>
  <si>
    <t>Enmanuel Cruz</t>
  </si>
  <si>
    <t>Veronica Valladares</t>
  </si>
  <si>
    <t>Paty Castro</t>
  </si>
  <si>
    <t>KBA6</t>
  </si>
  <si>
    <t>Jhosseline Erazo</t>
  </si>
  <si>
    <t>Juan Luis Marroquin</t>
  </si>
  <si>
    <t>Pablo Menendez</t>
  </si>
  <si>
    <t>Presidencia</t>
  </si>
  <si>
    <t>Finanzas</t>
  </si>
  <si>
    <t>Dir. de Operaciones</t>
  </si>
  <si>
    <t>Pre-Prensa</t>
  </si>
  <si>
    <t>CTP</t>
  </si>
  <si>
    <t>Produccion</t>
  </si>
  <si>
    <t>Calidad</t>
  </si>
  <si>
    <t>Mantenimiento</t>
  </si>
  <si>
    <t>Mtto. Infraestructura</t>
  </si>
  <si>
    <t>Eunice Linares</t>
  </si>
  <si>
    <t>Alfredo Perez</t>
  </si>
  <si>
    <t>Luis Rodriguez</t>
  </si>
  <si>
    <t>Beatriz Ramirez</t>
  </si>
  <si>
    <t>Hector Castro (Desktop Kodak)</t>
  </si>
  <si>
    <t>Hector Castro (Desktop RIP)</t>
  </si>
  <si>
    <t>Paty Castro (Desktop)</t>
  </si>
  <si>
    <t>Ricardo Rivera (Desktop)</t>
  </si>
  <si>
    <t>eunice.linares@impresoralaunion.com</t>
  </si>
  <si>
    <t>Viernes 6 a las 3:00 pm</t>
  </si>
  <si>
    <t>Lunes 2 por la tarde</t>
  </si>
  <si>
    <t>lunes 2</t>
  </si>
  <si>
    <t>Miércoles 4 a las 9:00 am</t>
  </si>
  <si>
    <t>Carlos Montoya (Desktop)</t>
  </si>
  <si>
    <t>jueves 5 a las 8:30</t>
  </si>
  <si>
    <t>whatsapp</t>
  </si>
  <si>
    <t xml:space="preserve">lunes 16 </t>
  </si>
  <si>
    <t>Viernes 13 a las 9:00 am</t>
  </si>
  <si>
    <t>miercoles 11 a las 4:00 pm</t>
  </si>
  <si>
    <t>viernes 13 a las 2:00pm</t>
  </si>
  <si>
    <t>Jueves 12 a las 4:00 pm</t>
  </si>
  <si>
    <t>Observacion</t>
  </si>
  <si>
    <t>Se realizo agrego una ram de 2GB y se cambio disipador del procesador</t>
  </si>
  <si>
    <t>Lunes 16</t>
  </si>
  <si>
    <t>Viernes 20</t>
  </si>
  <si>
    <t>es de abril y se realizo este mes de marzo, mantenimiento preventyivo</t>
  </si>
  <si>
    <t>miércoles 18 de marzo de 11:30 am</t>
  </si>
  <si>
    <t>Viernes 20 a las 7:30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</si>
</sst>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4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1" applyNumberFormat="1"/>
    <xf numFmtId="0" fontId="0" fillId="2" borderId="2" xfId="0" applyFill="1" applyBorder="1"/>
    <xf numFmtId="0" fontId="0" fillId="0" borderId="2" xfId="0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5" borderId="6" xfId="0" applyFill="1" applyBorder="1"/>
    <xf numFmtId="0" fontId="6" fillId="4" borderId="7" xfId="2" applyBorder="1"/>
    <xf numFmtId="14" fontId="0" fillId="0" borderId="0" xfId="0" applyNumberFormat="1"/>
    <xf numFmtId="0" fontId="0" fillId="5" borderId="8" xfId="0" applyFill="1" applyBorder="1" applyAlignment="1">
      <alignment horizontal="center"/>
    </xf>
    <xf numFmtId="0" fontId="0" fillId="4" borderId="9" xfId="2" applyFont="1" applyBorder="1" applyAlignment="1">
      <alignment horizontal="center"/>
    </xf>
    <xf numFmtId="0" fontId="0" fillId="2" borderId="10" xfId="0" applyFill="1" applyBorder="1" applyAlignment="1">
      <alignment horizontal="left"/>
    </xf>
    <xf numFmtId="0" fontId="0" fillId="2" borderId="11" xfId="0" applyFill="1" applyBorder="1"/>
    <xf numFmtId="0" fontId="0" fillId="6" borderId="0" xfId="0" applyFill="1"/>
    <xf numFmtId="0" fontId="7" fillId="0" borderId="0" xfId="0" applyFont="1"/>
    <xf numFmtId="0" fontId="1" fillId="0" borderId="0" xfId="1"/>
    <xf numFmtId="0" fontId="3" fillId="6" borderId="0" xfId="0" applyFont="1" applyFill="1"/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8" fontId="7" fillId="0" borderId="0" xfId="0" applyNumberFormat="1" applyFont="1"/>
    <xf numFmtId="0" fontId="0" fillId="0" borderId="12" xfId="0" applyBorder="1"/>
    <xf numFmtId="0" fontId="0" fillId="0" borderId="0" xfId="0" applyAlignment="1">
      <alignment horizontal="center" vertical="center"/>
    </xf>
    <xf numFmtId="0" fontId="8" fillId="0" borderId="0" xfId="0" applyFont="1"/>
    <xf numFmtId="0" fontId="0" fillId="7" borderId="2" xfId="0" applyFill="1" applyBorder="1"/>
    <xf numFmtId="0" fontId="0" fillId="0" borderId="0" xfId="0" applyAlignment="1">
      <alignment wrapText="1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3">
    <cellStyle name="Hipervínculo" xfId="1" builtinId="8"/>
    <cellStyle name="Neutral" xfId="2" builtinId="28"/>
    <cellStyle name="Normal" xfId="0" builtinId="0"/>
  </cellStyles>
  <dxfs count="15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view3D>
      <c:rotX val="30"/>
      <c:rotY val="1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5255876858187485E-2"/>
          <c:y val="0.15814140069663279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'Tickets Febrebro'!$J$4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explosion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5AFA-4E45-9262-7829A3AE30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AFA-4E45-9262-7829A3AE30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'Tickets Febrebro'!$I$5:$I$6</c:f>
              <c:strCache>
                <c:ptCount val="2"/>
                <c:pt idx="0">
                  <c:v>Realizados</c:v>
                </c:pt>
                <c:pt idx="1">
                  <c:v>Faltantes</c:v>
                </c:pt>
              </c:strCache>
            </c:strRef>
          </c:cat>
          <c:val>
            <c:numRef>
              <c:f>'Tickets Febrebro'!$J$5:$J$6</c:f>
              <c:numCache>
                <c:formatCode>General</c:formatCode>
                <c:ptCount val="2"/>
                <c:pt idx="0">
                  <c:v>28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A-4E45-9262-7829A3AE3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view3D>
      <c:rotX val="30"/>
      <c:rotY val="1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5255876858187485E-2"/>
          <c:y val="0.15814140069663279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'Tickets Marzo'!$J$4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explosion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47-475A-A8F4-9E5FAF6637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47-475A-A8F4-9E5FAF66373A}"/>
              </c:ext>
            </c:extLst>
          </c:dPt>
          <c:dLbls>
            <c:dLbl>
              <c:idx val="0"/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SV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347-475A-A8F4-9E5FAF6637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SV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'Tickets Marzo'!$I$5:$I$6</c:f>
              <c:strCache>
                <c:ptCount val="2"/>
                <c:pt idx="0">
                  <c:v>Realizados</c:v>
                </c:pt>
                <c:pt idx="1">
                  <c:v>Faltantes</c:v>
                </c:pt>
              </c:strCache>
            </c:strRef>
          </c:cat>
          <c:val>
            <c:numRef>
              <c:f>'Tickets Marzo'!$J$5:$J$6</c:f>
              <c:numCache>
                <c:formatCode>General</c:formatCode>
                <c:ptCount val="2"/>
                <c:pt idx="0">
                  <c:v>14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47-475A-A8F4-9E5FAF663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9526</xdr:colOff>
      <xdr:row>8</xdr:row>
      <xdr:rowOff>185737</xdr:rowOff>
    </xdr:from>
    <xdr:to>
      <xdr:col>13</xdr:col>
      <xdr:colOff>266701</xdr:colOff>
      <xdr:row>22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E44DCCF-3FD1-2F96-7EBC-028C6A10C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757919</xdr:colOff>
      <xdr:row>16</xdr:row>
      <xdr:rowOff>49665</xdr:rowOff>
    </xdr:from>
    <xdr:to>
      <xdr:col>13</xdr:col>
      <xdr:colOff>253094</xdr:colOff>
      <xdr:row>28</xdr:row>
      <xdr:rowOff>50346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DB9996-47E9-424B-A354-F8E3B56EB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360ED9FB-667C-409D-97DC-B7ECB1B15BEC}" autoFormatId="16" applyNumberFormats="0" applyBorderFormats="0" applyFontFormats="0" applyPatternFormats="0" applyAlignmentFormats="0" applyWidthHeightFormats="0">
  <queryTableRefresh nextId="5">
    <queryTableFields count="2">
      <queryTableField id="1" name="Column1" tableColumnId="1"/>
      <queryTableField id="2" name="Column2" tableColumnId="2"/>
    </queryTableFields>
    <queryTableDeletedFields count="2">
      <deletedField name="Column3"/>
      <deletedField name="Column3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6E4E0-073D-4B86-8850-BA4FF8662C32}" name="TICKET_MANTTO" displayName="TICKET_MANTTO" ref="A1:D29" totalsRowShown="0">
  <autoFilter ref="A1:D29" xr:uid="{4946E4E0-073D-4B86-8850-BA4FF8662C32}"/>
  <sortState xmlns:xlrd2="http://schemas.microsoft.com/office/spreadsheetml/2017/richdata2" ref="A2:D28">
    <sortCondition ref="B1:B29"/>
  </sortState>
  <tableColumns count="4">
    <tableColumn id="1" xr3:uid="{098A2BBB-0383-4443-8F04-161CB561F84C}" name="# TICKET"/>
    <tableColumn id="2" xr3:uid="{1888B496-CB86-4B7E-AD54-539D4B15822C}" name="USUARIO" dataDxfId="10"/>
    <tableColumn id="6" xr3:uid="{8CBF5AF5-4E6B-4463-89EA-0078D895B2FA}" name="CORREO" dataDxfId="9">
      <calculatedColumnFormula>VLOOKUP(TICKET_MANTTO[[#This Row],[USUARIO]],correos[],2,FALSE)</calculatedColumnFormula>
    </tableColumn>
    <tableColumn id="8" xr3:uid="{C744191B-0152-44E0-BA0D-B82C1F7DED3C}" name="ETIQUE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B41245-D214-40D3-A6C3-64EFF25EF106}" name="correos" displayName="correos" ref="A1:B107" tableType="queryTable" totalsRowShown="0">
  <autoFilter ref="A1:B107" xr:uid="{7AB41245-D214-40D3-A6C3-64EFF25EF106}"/>
  <sortState xmlns:xlrd2="http://schemas.microsoft.com/office/spreadsheetml/2017/richdata2" ref="A2:B89">
    <sortCondition ref="A1:A89"/>
  </sortState>
  <tableColumns count="2">
    <tableColumn id="1" xr3:uid="{C2746366-1968-4821-AD49-6E15B3E072BE}" uniqueName="1" name="nombre" queryTableFieldId="1" dataDxfId="8"/>
    <tableColumn id="2" xr3:uid="{D3D40FF6-68AE-4DDD-81E8-5C26E7A1460F}" uniqueName="2" name="correo" queryTableFieldId="2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C91D74-B6D8-492F-856E-4953E547DBD8}" name="Tabla3" displayName="Tabla3" ref="C1:G29" totalsRowShown="0" headerRowDxfId="6">
  <autoFilter ref="C1:G29" xr:uid="{70C91D74-B6D8-492F-856E-4953E547DBD8}"/>
  <sortState xmlns:xlrd2="http://schemas.microsoft.com/office/spreadsheetml/2017/richdata2" ref="C2:G29">
    <sortCondition sortBy="cellColor" ref="E1:E29" dxfId="5"/>
  </sortState>
  <tableColumns count="5">
    <tableColumn id="1" xr3:uid="{E0A1C190-83DB-425D-B1D1-E2E75ADA492F}" name="Ticket" dataDxfId="4"/>
    <tableColumn id="2" xr3:uid="{791DDFFB-70AC-4332-AD8C-65F629AA1A1D}" name="Nombre" dataDxfId="3"/>
    <tableColumn id="3" xr3:uid="{B895B2FA-9A35-4BD6-AD2F-D34CB989267E}" name="Estado"/>
    <tableColumn id="4" xr3:uid="{3FC34D6E-BAFD-4345-BED7-D2B532372425}" name="Programacion"/>
    <tableColumn id="5" xr3:uid="{51C4CDC4-0668-4FB9-8DB9-581C215CAB24}" name="contac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4DAF11-28C2-4656-A204-A9244FD01E5E}" name="Tabla4" displayName="Tabla4" ref="Q1:U13" totalsRowShown="0" headerRowDxfId="2">
  <autoFilter ref="Q1:U13" xr:uid="{904DAF11-28C2-4656-A204-A9244FD01E5E}"/>
  <tableColumns count="5">
    <tableColumn id="1" xr3:uid="{F73DB109-60E7-4ACB-8422-30F5713D57D0}" name="N°"/>
    <tableColumn id="2" xr3:uid="{5AF5B213-B144-4D34-B35E-72F15E0AACC9}" name="Ticket"/>
    <tableColumn id="3" xr3:uid="{D7F869B0-C29C-4870-8A4A-A24F79C2BF8F}" name="Nombre"/>
    <tableColumn id="4" xr3:uid="{526B23E4-33EA-44EA-A3CC-C52BFE39043A}" name="Estado"/>
    <tableColumn id="5" xr3:uid="{C5FFCCD2-BA7E-488D-B9EF-7C59FAC86AB6}" name="Programacion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875677-03B5-4B29-B02A-B3D8F9903F58}" name="Tabla36" displayName="Tabla36" ref="B1:G25" totalsRowShown="0" headerRowDxfId="14">
  <autoFilter ref="B1:G25" xr:uid="{70C91D74-B6D8-492F-856E-4953E547DBD8}"/>
  <sortState xmlns:xlrd2="http://schemas.microsoft.com/office/spreadsheetml/2017/richdata2" ref="B2:G25">
    <sortCondition ref="C1:C25"/>
  </sortState>
  <tableColumns count="6">
    <tableColumn id="1" xr3:uid="{C2727CCC-B169-4813-A2C7-C8B7836E1BB0}" name="Ticket" dataDxfId="13"/>
    <tableColumn id="2" xr3:uid="{DB338ED4-0C88-4B4A-BBF0-3DA9864269DF}" name="Nombre" dataDxfId="12"/>
    <tableColumn id="3" xr3:uid="{61364D83-1FAD-44EE-9D68-8A31579B6F3A}" name="Estado"/>
    <tableColumn id="4" xr3:uid="{C630C1F9-BC27-4BBC-AB0C-F27F041F5E72}" name="Programacion"/>
    <tableColumn id="6" xr3:uid="{9A4A4792-02AC-41F0-8A17-CD91555B33B3}" name="Observacion"/>
    <tableColumn id="5" xr3:uid="{D370455B-A617-4F5F-A4B1-EF410BCC4347}" name="contact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5D951A-BF10-4EF0-9807-EC7371581681}" name="Tabla47" displayName="Tabla47" ref="Q1:U6" totalsRowShown="0" headerRowDxfId="11">
  <autoFilter ref="Q1:U6" xr:uid="{904DAF11-28C2-4656-A204-A9244FD01E5E}"/>
  <tableColumns count="5">
    <tableColumn id="1" xr3:uid="{643C2F55-D539-4904-BF2E-A03B2E8F1F3E}" name="N°"/>
    <tableColumn id="2" xr3:uid="{EBCE2C69-E4A2-4850-A705-306B2E680184}" name="Ticket"/>
    <tableColumn id="3" xr3:uid="{CA0B7DDC-89A9-4F6B-A4BD-1FEC117D1E33}" name="Nombre"/>
    <tableColumn id="4" xr3:uid="{417B6F91-7E1A-461E-881B-12E5EB0AA7ED}" name="Estado"/>
    <tableColumn id="5" xr3:uid="{A5E4BD1B-23C4-41F5-96FC-90CAF34532ED}" name="Programac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oliva@impresoralaunion.com" TargetMode="External"/><Relationship Id="rId2" Type="http://schemas.openxmlformats.org/officeDocument/2006/relationships/hyperlink" Target="mailto:carlos.granadeno@impresoralaunion.com" TargetMode="External"/><Relationship Id="rId1" Type="http://schemas.openxmlformats.org/officeDocument/2006/relationships/hyperlink" Target="mailto:alexandra.padilla@impresoralaunion.com" TargetMode="External"/><Relationship Id="rId6" Type="http://schemas.openxmlformats.org/officeDocument/2006/relationships/table" Target="../tables/table2.xml"/><Relationship Id="rId5" Type="http://schemas.openxmlformats.org/officeDocument/2006/relationships/hyperlink" Target="mailto:jhoseline.erazo@impresoralaunion.com" TargetMode="External"/><Relationship Id="rId4" Type="http://schemas.openxmlformats.org/officeDocument/2006/relationships/hyperlink" Target="mailto:jhoseline.erazo@impresoralaunion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6C17-441D-493E-A9CF-14F117D8BD57}">
  <dimension ref="A1:D29"/>
  <sheetViews>
    <sheetView topLeftCell="A7" workbookViewId="0">
      <selection activeCell="B26" sqref="B26"/>
    </sheetView>
  </sheetViews>
  <sheetFormatPr baseColWidth="10" defaultRowHeight="14.3" x14ac:dyDescent="0.25"/>
  <cols>
    <col min="1" max="1" width="10.125" bestFit="1" customWidth="1"/>
    <col min="2" max="2" width="36.875" bestFit="1" customWidth="1"/>
    <col min="3" max="3" width="36.375" bestFit="1" customWidth="1"/>
    <col min="4" max="4" width="25.25" bestFit="1" customWidth="1"/>
  </cols>
  <sheetData>
    <row r="1" spans="1:4" x14ac:dyDescent="0.25">
      <c r="A1" t="s">
        <v>0</v>
      </c>
      <c r="B1" t="s">
        <v>1</v>
      </c>
      <c r="C1" t="s">
        <v>15</v>
      </c>
      <c r="D1" t="s">
        <v>118</v>
      </c>
    </row>
    <row r="2" spans="1:4" x14ac:dyDescent="0.25">
      <c r="A2" s="1">
        <v>2654</v>
      </c>
      <c r="B2" t="s">
        <v>230</v>
      </c>
      <c r="C2" t="str">
        <f>VLOOKUP(TICKET_MANTTO[[#This Row],[USUARIO]],correos[],2,FALSE)</f>
        <v>eunice.linares@impresoralaunion.com</v>
      </c>
      <c r="D2" t="s">
        <v>119</v>
      </c>
    </row>
    <row r="3" spans="1:4" x14ac:dyDescent="0.25">
      <c r="A3" s="1">
        <v>2655</v>
      </c>
      <c r="B3" t="s">
        <v>106</v>
      </c>
      <c r="C3" t="str">
        <f>VLOOKUP(TICKET_MANTTO[[#This Row],[USUARIO]],correos[],2,FALSE)</f>
        <v>alexander.fogelbach@impresoralaunion.com</v>
      </c>
      <c r="D3" t="s">
        <v>119</v>
      </c>
    </row>
    <row r="4" spans="1:4" x14ac:dyDescent="0.25">
      <c r="A4" s="1">
        <v>2656</v>
      </c>
      <c r="B4" t="s">
        <v>99</v>
      </c>
      <c r="C4" t="str">
        <f>VLOOKUP(TICKET_MANTTO[[#This Row],[USUARIO]],correos[],2,FALSE)</f>
        <v>rochoa@impresoralaunion.com</v>
      </c>
      <c r="D4" t="s">
        <v>119</v>
      </c>
    </row>
    <row r="5" spans="1:4" x14ac:dyDescent="0.25">
      <c r="A5" s="1">
        <v>2657</v>
      </c>
      <c r="B5" t="s">
        <v>214</v>
      </c>
      <c r="C5" t="str">
        <f>VLOOKUP(TICKET_MANTTO[[#This Row],[USUARIO]],correos[],2,FALSE)</f>
        <v>enmanuel.cruz@impresoralaunion.com</v>
      </c>
      <c r="D5" t="s">
        <v>119</v>
      </c>
    </row>
    <row r="6" spans="1:4" x14ac:dyDescent="0.25">
      <c r="A6" s="1">
        <v>2658</v>
      </c>
      <c r="B6" t="s">
        <v>231</v>
      </c>
      <c r="C6" t="str">
        <f>VLOOKUP(TICKET_MANTTO[[#This Row],[USUARIO]],correos[],2,FALSE)</f>
        <v>alfredo.perez@impresoralaunion.com</v>
      </c>
      <c r="D6" t="s">
        <v>119</v>
      </c>
    </row>
    <row r="7" spans="1:4" x14ac:dyDescent="0.25">
      <c r="A7" s="1">
        <v>2659</v>
      </c>
      <c r="B7" t="s">
        <v>232</v>
      </c>
      <c r="C7" t="str">
        <f>VLOOKUP(TICKET_MANTTO[[#This Row],[USUARIO]],correos[],2,FALSE)</f>
        <v>luis.rodriguez@impresoralaunion.com</v>
      </c>
      <c r="D7" t="s">
        <v>119</v>
      </c>
    </row>
    <row r="8" spans="1:4" x14ac:dyDescent="0.25">
      <c r="A8" s="1">
        <v>2660</v>
      </c>
      <c r="B8" t="s">
        <v>233</v>
      </c>
      <c r="C8" t="str">
        <f>VLOOKUP(TICKET_MANTTO[[#This Row],[USUARIO]],correos[],2,FALSE)</f>
        <v>beatriz.ramirez@impresoralaunion.com</v>
      </c>
      <c r="D8" t="s">
        <v>119</v>
      </c>
    </row>
    <row r="9" spans="1:4" x14ac:dyDescent="0.25">
      <c r="A9" s="1">
        <v>2661</v>
      </c>
      <c r="B9" t="s">
        <v>91</v>
      </c>
      <c r="C9" t="str">
        <f>VLOOKUP(TICKET_MANTTO[[#This Row],[USUARIO]],correos[],2,FALSE)</f>
        <v>ebarrera@impresoralaunion.com</v>
      </c>
      <c r="D9" t="s">
        <v>119</v>
      </c>
    </row>
    <row r="10" spans="1:4" x14ac:dyDescent="0.25">
      <c r="A10" s="1">
        <v>2662</v>
      </c>
      <c r="B10" t="s">
        <v>110</v>
      </c>
      <c r="C10" t="str">
        <f>VLOOKUP(TICKET_MANTTO[[#This Row],[USUARIO]],correos[],2,FALSE)</f>
        <v>m.flores@impresoralaunion.com</v>
      </c>
      <c r="D10" t="s">
        <v>119</v>
      </c>
    </row>
    <row r="11" spans="1:4" x14ac:dyDescent="0.25">
      <c r="A11" s="1">
        <v>2663</v>
      </c>
      <c r="B11" t="s">
        <v>215</v>
      </c>
      <c r="C11" t="str">
        <f>VLOOKUP(TICKET_MANTTO[[#This Row],[USUARIO]],correos[],2,FALSE)</f>
        <v>vgvalladares@impresoralaunion.com</v>
      </c>
      <c r="D11" t="s">
        <v>119</v>
      </c>
    </row>
    <row r="12" spans="1:4" x14ac:dyDescent="0.25">
      <c r="A12" s="1">
        <v>2664</v>
      </c>
      <c r="B12" t="s">
        <v>97</v>
      </c>
      <c r="C12" t="str">
        <f>VLOOKUP(TICKET_MANTTO[[#This Row],[USUARIO]],correos[],2,FALSE)</f>
        <v>wtaura@impresoralaunion.com</v>
      </c>
      <c r="D12" t="s">
        <v>119</v>
      </c>
    </row>
    <row r="13" spans="1:4" x14ac:dyDescent="0.25">
      <c r="A13" s="1">
        <v>2665</v>
      </c>
      <c r="B13" t="s">
        <v>156</v>
      </c>
      <c r="C13" t="str">
        <f>VLOOKUP(TICKET_MANTTO[[#This Row],[USUARIO]],correos[],2,FALSE)</f>
        <v>hcastro@impresoralaunion.com</v>
      </c>
      <c r="D13" t="s">
        <v>119</v>
      </c>
    </row>
    <row r="14" spans="1:4" x14ac:dyDescent="0.25">
      <c r="A14" s="1">
        <v>2666</v>
      </c>
      <c r="B14" t="s">
        <v>125</v>
      </c>
      <c r="C14" t="str">
        <f>VLOOKUP(TICKET_MANTTO[[#This Row],[USUARIO]],correos[],2,FALSE)</f>
        <v>katya.flores@impresoralaunion.com</v>
      </c>
      <c r="D14" t="s">
        <v>119</v>
      </c>
    </row>
    <row r="15" spans="1:4" x14ac:dyDescent="0.25">
      <c r="A15" s="1">
        <v>2667</v>
      </c>
      <c r="B15" t="s">
        <v>138</v>
      </c>
      <c r="C15" t="str">
        <f>VLOOKUP(TICKET_MANTTO[[#This Row],[USUARIO]],correos[],2,FALSE)</f>
        <v>destructural@impresoralaunion.com</v>
      </c>
      <c r="D15" t="s">
        <v>119</v>
      </c>
    </row>
    <row r="16" spans="1:4" x14ac:dyDescent="0.25">
      <c r="A16" s="1">
        <v>2668</v>
      </c>
      <c r="B16" t="s">
        <v>234</v>
      </c>
      <c r="C16" t="str">
        <f>VLOOKUP(TICKET_MANTTO[[#This Row],[USUARIO]],correos[],2,FALSE)</f>
        <v>hcastro@impresoralaunion.com</v>
      </c>
      <c r="D16" t="s">
        <v>119</v>
      </c>
    </row>
    <row r="17" spans="1:4" x14ac:dyDescent="0.25">
      <c r="A17" s="1">
        <v>2669</v>
      </c>
      <c r="B17" t="s">
        <v>235</v>
      </c>
      <c r="C17" t="str">
        <f>VLOOKUP(TICKET_MANTTO[[#This Row],[USUARIO]],correos[],2,FALSE)</f>
        <v>hcastro@impresoralaunion.com</v>
      </c>
      <c r="D17" t="s">
        <v>119</v>
      </c>
    </row>
    <row r="18" spans="1:4" x14ac:dyDescent="0.25">
      <c r="A18" s="1">
        <v>2670</v>
      </c>
      <c r="B18" t="s">
        <v>236</v>
      </c>
      <c r="C18" t="str">
        <f>VLOOKUP(TICKET_MANTTO[[#This Row],[USUARIO]],correos[],2,FALSE)</f>
        <v>supervision@impresoralaunion.com</v>
      </c>
      <c r="D18" t="s">
        <v>119</v>
      </c>
    </row>
    <row r="19" spans="1:4" x14ac:dyDescent="0.25">
      <c r="A19" s="1">
        <v>2671</v>
      </c>
      <c r="B19" t="s">
        <v>120</v>
      </c>
      <c r="C19" t="str">
        <f>VLOOKUP(TICKET_MANTTO[[#This Row],[USUARIO]],correos[],2,FALSE)</f>
        <v>hmonge@impresoralaunion.com</v>
      </c>
      <c r="D19" t="s">
        <v>119</v>
      </c>
    </row>
    <row r="20" spans="1:4" x14ac:dyDescent="0.25">
      <c r="A20" s="1">
        <v>2672</v>
      </c>
      <c r="B20" t="s">
        <v>101</v>
      </c>
      <c r="C20" t="str">
        <f>VLOOKUP(TICKET_MANTTO[[#This Row],[USUARIO]],correos[],2,FALSE)</f>
        <v>jayala@impresoralaunion.com</v>
      </c>
      <c r="D20" t="s">
        <v>119</v>
      </c>
    </row>
    <row r="21" spans="1:4" x14ac:dyDescent="0.25">
      <c r="A21" s="1">
        <v>2673</v>
      </c>
      <c r="B21" t="s">
        <v>217</v>
      </c>
      <c r="C21" t="str">
        <f>VLOOKUP(TICKET_MANTTO[[#This Row],[USUARIO]],correos[],2,FALSE)</f>
        <v>hmonge@impresoralaunion.com</v>
      </c>
      <c r="D21" t="s">
        <v>119</v>
      </c>
    </row>
    <row r="22" spans="1:4" x14ac:dyDescent="0.25">
      <c r="A22" s="1">
        <v>2674</v>
      </c>
      <c r="B22" t="s">
        <v>218</v>
      </c>
      <c r="C22" t="str">
        <f>VLOOKUP(TICKET_MANTTO[[#This Row],[USUARIO]],correos[],2,FALSE)</f>
        <v>jhoseline.erazo@impresoralaunion.com</v>
      </c>
      <c r="D22" t="s">
        <v>119</v>
      </c>
    </row>
    <row r="23" spans="1:4" x14ac:dyDescent="0.25">
      <c r="A23" s="1">
        <v>2675</v>
      </c>
      <c r="B23" t="s">
        <v>144</v>
      </c>
      <c r="C23" t="str">
        <f>VLOOKUP(TICKET_MANTTO[[#This Row],[USUARIO]],correos[],2,FALSE)</f>
        <v>nelson.bonilla@impresoralaunion.com</v>
      </c>
      <c r="D23" t="s">
        <v>119</v>
      </c>
    </row>
    <row r="24" spans="1:4" x14ac:dyDescent="0.25">
      <c r="A24" s="1">
        <v>2676</v>
      </c>
      <c r="B24" t="s">
        <v>237</v>
      </c>
      <c r="C24" t="str">
        <f>VLOOKUP(TICKET_MANTTO[[#This Row],[USUARIO]],correos[],2,FALSE)</f>
        <v>mantenimiento@impresoralaunion.com</v>
      </c>
      <c r="D24" t="s">
        <v>119</v>
      </c>
    </row>
    <row r="25" spans="1:4" x14ac:dyDescent="0.25">
      <c r="A25" s="1">
        <v>2677</v>
      </c>
      <c r="B25" t="s">
        <v>219</v>
      </c>
      <c r="C25" t="str">
        <f>VLOOKUP(TICKET_MANTTO[[#This Row],[USUARIO]],correos[],2,FALSE)</f>
        <v>jmarroquin@impresoralaunion.com</v>
      </c>
      <c r="D25" t="s">
        <v>119</v>
      </c>
    </row>
    <row r="26" spans="1:4" x14ac:dyDescent="0.25">
      <c r="A26" s="1">
        <v>2678</v>
      </c>
      <c r="B26" t="s">
        <v>220</v>
      </c>
      <c r="C26" t="str">
        <f>VLOOKUP(TICKET_MANTTO[[#This Row],[USUARIO]],correos[],2,FALSE)</f>
        <v>pmenendez@impresoralaunion.com</v>
      </c>
      <c r="D26" t="s">
        <v>119</v>
      </c>
    </row>
    <row r="27" spans="1:4" x14ac:dyDescent="0.25">
      <c r="A27" s="1">
        <v>2593</v>
      </c>
      <c r="B27" t="s">
        <v>160</v>
      </c>
      <c r="C27" t="str">
        <f>VLOOKUP(TICKET_MANTTO[[#This Row],[USUARIO]],correos[],2,FALSE)</f>
        <v>hmonge@impresoralaunion.com</v>
      </c>
      <c r="D27" t="s">
        <v>119</v>
      </c>
    </row>
    <row r="28" spans="1:4" x14ac:dyDescent="0.25">
      <c r="A28" s="1">
        <v>2596</v>
      </c>
      <c r="B28" t="s">
        <v>163</v>
      </c>
      <c r="C28" t="str">
        <f>VLOOKUP(TICKET_MANTTO[[#This Row],[USUARIO]],correos[],2,FALSE)</f>
        <v>hmonge@impresoralaunion.com</v>
      </c>
      <c r="D28" t="s">
        <v>119</v>
      </c>
    </row>
    <row r="29" spans="1:4" x14ac:dyDescent="0.25">
      <c r="A2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DF24-8471-4543-AF6E-82B9C8A0755C}">
  <dimension ref="A1:B106"/>
  <sheetViews>
    <sheetView topLeftCell="A80" workbookViewId="0">
      <selection activeCell="B102" activeCellId="1" sqref="B90 B102"/>
    </sheetView>
  </sheetViews>
  <sheetFormatPr baseColWidth="10" defaultRowHeight="14.3" x14ac:dyDescent="0.25"/>
  <cols>
    <col min="1" max="1" width="21.875" bestFit="1" customWidth="1"/>
    <col min="2" max="2" width="38.625" bestFit="1" customWidth="1"/>
  </cols>
  <sheetData>
    <row r="1" spans="1:2" x14ac:dyDescent="0.25">
      <c r="A1" t="s">
        <v>114</v>
      </c>
      <c r="B1" t="s">
        <v>115</v>
      </c>
    </row>
    <row r="2" spans="1:2" x14ac:dyDescent="0.25">
      <c r="A2" t="s">
        <v>129</v>
      </c>
      <c r="B2" t="s">
        <v>77</v>
      </c>
    </row>
    <row r="3" spans="1:2" x14ac:dyDescent="0.25">
      <c r="A3" t="s">
        <v>168</v>
      </c>
      <c r="B3" s="2" t="s">
        <v>167</v>
      </c>
    </row>
    <row r="4" spans="1:2" x14ac:dyDescent="0.25">
      <c r="A4" t="s">
        <v>10</v>
      </c>
      <c r="B4" t="s">
        <v>44</v>
      </c>
    </row>
    <row r="5" spans="1:2" x14ac:dyDescent="0.25">
      <c r="A5" t="s">
        <v>106</v>
      </c>
      <c r="B5" t="s">
        <v>57</v>
      </c>
    </row>
    <row r="6" spans="1:2" x14ac:dyDescent="0.25">
      <c r="A6" t="s">
        <v>131</v>
      </c>
      <c r="B6" t="s">
        <v>79</v>
      </c>
    </row>
    <row r="7" spans="1:2" x14ac:dyDescent="0.25">
      <c r="A7" t="s">
        <v>89</v>
      </c>
      <c r="B7" t="s">
        <v>17</v>
      </c>
    </row>
    <row r="8" spans="1:2" x14ac:dyDescent="0.25">
      <c r="A8" t="s">
        <v>136</v>
      </c>
      <c r="B8" t="s">
        <v>87</v>
      </c>
    </row>
    <row r="9" spans="1:2" x14ac:dyDescent="0.25">
      <c r="A9" t="s">
        <v>113</v>
      </c>
      <c r="B9" t="s">
        <v>68</v>
      </c>
    </row>
    <row r="10" spans="1:2" x14ac:dyDescent="0.25">
      <c r="A10" t="s">
        <v>3</v>
      </c>
      <c r="B10" t="s">
        <v>75</v>
      </c>
    </row>
    <row r="11" spans="1:2" x14ac:dyDescent="0.25">
      <c r="A11" t="s">
        <v>165</v>
      </c>
      <c r="B11" t="s">
        <v>167</v>
      </c>
    </row>
    <row r="12" spans="1:2" x14ac:dyDescent="0.25">
      <c r="A12" t="s">
        <v>132</v>
      </c>
      <c r="B12" t="s">
        <v>80</v>
      </c>
    </row>
    <row r="13" spans="1:2" x14ac:dyDescent="0.25">
      <c r="A13" t="s">
        <v>138</v>
      </c>
      <c r="B13" t="s">
        <v>139</v>
      </c>
    </row>
    <row r="14" spans="1:2" x14ac:dyDescent="0.25">
      <c r="A14" t="s">
        <v>2</v>
      </c>
      <c r="B14" t="s">
        <v>64</v>
      </c>
    </row>
    <row r="15" spans="1:2" x14ac:dyDescent="0.25">
      <c r="A15" t="s">
        <v>159</v>
      </c>
      <c r="B15" t="s">
        <v>169</v>
      </c>
    </row>
    <row r="16" spans="1:2" x14ac:dyDescent="0.25">
      <c r="A16" t="s">
        <v>48</v>
      </c>
      <c r="B16" t="s">
        <v>49</v>
      </c>
    </row>
    <row r="17" spans="1:2" x14ac:dyDescent="0.25">
      <c r="A17" t="s">
        <v>154</v>
      </c>
      <c r="B17" t="s">
        <v>68</v>
      </c>
    </row>
    <row r="18" spans="1:2" x14ac:dyDescent="0.25">
      <c r="A18" t="s">
        <v>157</v>
      </c>
      <c r="B18" t="s">
        <v>29</v>
      </c>
    </row>
    <row r="19" spans="1:2" x14ac:dyDescent="0.25">
      <c r="A19" t="s">
        <v>122</v>
      </c>
      <c r="B19" t="s">
        <v>29</v>
      </c>
    </row>
    <row r="20" spans="1:2" x14ac:dyDescent="0.25">
      <c r="A20" t="s">
        <v>127</v>
      </c>
      <c r="B20" t="s">
        <v>74</v>
      </c>
    </row>
    <row r="21" spans="1:2" x14ac:dyDescent="0.25">
      <c r="A21" t="s">
        <v>91</v>
      </c>
      <c r="B21" t="s">
        <v>22</v>
      </c>
    </row>
    <row r="22" spans="1:2" x14ac:dyDescent="0.25">
      <c r="A22" t="s">
        <v>109</v>
      </c>
      <c r="B22" t="s">
        <v>61</v>
      </c>
    </row>
    <row r="23" spans="1:2" x14ac:dyDescent="0.25">
      <c r="A23" t="s">
        <v>11</v>
      </c>
      <c r="B23" t="s">
        <v>55</v>
      </c>
    </row>
    <row r="24" spans="1:2" x14ac:dyDescent="0.25">
      <c r="A24" t="s">
        <v>137</v>
      </c>
      <c r="B24" t="s">
        <v>19</v>
      </c>
    </row>
    <row r="25" spans="1:2" x14ac:dyDescent="0.25">
      <c r="A25" t="s">
        <v>130</v>
      </c>
      <c r="B25" t="s">
        <v>78</v>
      </c>
    </row>
    <row r="26" spans="1:2" x14ac:dyDescent="0.25">
      <c r="A26" t="s">
        <v>158</v>
      </c>
      <c r="B26" t="s">
        <v>19</v>
      </c>
    </row>
    <row r="27" spans="1:2" x14ac:dyDescent="0.25">
      <c r="A27" t="s">
        <v>140</v>
      </c>
      <c r="B27" t="s">
        <v>141</v>
      </c>
    </row>
    <row r="28" spans="1:2" x14ac:dyDescent="0.25">
      <c r="A28" t="s">
        <v>155</v>
      </c>
      <c r="B28" t="s">
        <v>23</v>
      </c>
    </row>
    <row r="29" spans="1:2" x14ac:dyDescent="0.25">
      <c r="A29" t="s">
        <v>9</v>
      </c>
      <c r="B29" t="s">
        <v>23</v>
      </c>
    </row>
    <row r="30" spans="1:2" x14ac:dyDescent="0.25">
      <c r="A30" t="s">
        <v>112</v>
      </c>
      <c r="B30" t="s">
        <v>65</v>
      </c>
    </row>
    <row r="31" spans="1:2" x14ac:dyDescent="0.25">
      <c r="A31" t="s">
        <v>135</v>
      </c>
      <c r="B31" t="s">
        <v>86</v>
      </c>
    </row>
    <row r="32" spans="1:2" x14ac:dyDescent="0.25">
      <c r="A32" t="s">
        <v>156</v>
      </c>
      <c r="B32" t="s">
        <v>30</v>
      </c>
    </row>
    <row r="33" spans="1:2" x14ac:dyDescent="0.25">
      <c r="A33" t="s">
        <v>94</v>
      </c>
      <c r="B33" t="s">
        <v>30</v>
      </c>
    </row>
    <row r="34" spans="1:2" x14ac:dyDescent="0.25">
      <c r="A34" t="s">
        <v>12</v>
      </c>
      <c r="B34" t="s">
        <v>50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120</v>
      </c>
      <c r="B36" t="s">
        <v>20</v>
      </c>
    </row>
    <row r="37" spans="1:2" x14ac:dyDescent="0.25">
      <c r="A37" t="s">
        <v>90</v>
      </c>
      <c r="B37" s="22" t="s">
        <v>18</v>
      </c>
    </row>
    <row r="38" spans="1:2" x14ac:dyDescent="0.25">
      <c r="A38" t="s">
        <v>161</v>
      </c>
      <c r="B38" t="s">
        <v>31</v>
      </c>
    </row>
    <row r="39" spans="1:2" x14ac:dyDescent="0.25">
      <c r="A39" t="s">
        <v>147</v>
      </c>
      <c r="B39" t="s">
        <v>31</v>
      </c>
    </row>
    <row r="40" spans="1:2" x14ac:dyDescent="0.25">
      <c r="A40" t="s">
        <v>103</v>
      </c>
      <c r="B40" t="s">
        <v>47</v>
      </c>
    </row>
    <row r="41" spans="1:2" x14ac:dyDescent="0.25">
      <c r="A41" t="s">
        <v>107</v>
      </c>
      <c r="B41" t="s">
        <v>58</v>
      </c>
    </row>
    <row r="42" spans="1:2" x14ac:dyDescent="0.25">
      <c r="A42" t="s">
        <v>71</v>
      </c>
      <c r="B42" t="s">
        <v>72</v>
      </c>
    </row>
    <row r="43" spans="1:2" x14ac:dyDescent="0.25">
      <c r="A43" t="s">
        <v>102</v>
      </c>
      <c r="B43" t="s">
        <v>45</v>
      </c>
    </row>
    <row r="44" spans="1:2" x14ac:dyDescent="0.25">
      <c r="A44" t="s">
        <v>7</v>
      </c>
      <c r="B44" t="s">
        <v>21</v>
      </c>
    </row>
    <row r="45" spans="1:2" x14ac:dyDescent="0.25">
      <c r="A45" t="s">
        <v>95</v>
      </c>
      <c r="B45" t="s">
        <v>32</v>
      </c>
    </row>
    <row r="46" spans="1:2" x14ac:dyDescent="0.25">
      <c r="A46" t="s">
        <v>121</v>
      </c>
      <c r="B46" t="s">
        <v>25</v>
      </c>
    </row>
    <row r="47" spans="1:2" x14ac:dyDescent="0.25">
      <c r="A47" t="s">
        <v>134</v>
      </c>
      <c r="B47" t="s">
        <v>83</v>
      </c>
    </row>
    <row r="48" spans="1:2" x14ac:dyDescent="0.25">
      <c r="A48" t="s">
        <v>14</v>
      </c>
      <c r="B48" t="s">
        <v>26</v>
      </c>
    </row>
    <row r="49" spans="1:2" x14ac:dyDescent="0.25">
      <c r="A49" t="s">
        <v>104</v>
      </c>
      <c r="B49" t="s">
        <v>53</v>
      </c>
    </row>
    <row r="50" spans="1:2" x14ac:dyDescent="0.25">
      <c r="A50" t="s">
        <v>133</v>
      </c>
      <c r="B50" t="s">
        <v>81</v>
      </c>
    </row>
    <row r="51" spans="1:2" x14ac:dyDescent="0.25">
      <c r="A51" t="s">
        <v>125</v>
      </c>
      <c r="B51" t="s">
        <v>69</v>
      </c>
    </row>
    <row r="52" spans="1:2" x14ac:dyDescent="0.25">
      <c r="A52" t="s">
        <v>88</v>
      </c>
      <c r="B52" t="s">
        <v>16</v>
      </c>
    </row>
    <row r="53" spans="1:2" x14ac:dyDescent="0.25">
      <c r="A53" t="s">
        <v>142</v>
      </c>
      <c r="B53" t="s">
        <v>60</v>
      </c>
    </row>
    <row r="54" spans="1:2" x14ac:dyDescent="0.25">
      <c r="A54" t="s">
        <v>164</v>
      </c>
      <c r="B54" t="s">
        <v>38</v>
      </c>
    </row>
    <row r="55" spans="1:2" x14ac:dyDescent="0.25">
      <c r="A55" t="s">
        <v>143</v>
      </c>
      <c r="B55" t="s">
        <v>85</v>
      </c>
    </row>
    <row r="56" spans="1:2" x14ac:dyDescent="0.25">
      <c r="A56" t="s">
        <v>153</v>
      </c>
      <c r="B56" t="s">
        <v>40</v>
      </c>
    </row>
    <row r="57" spans="1:2" x14ac:dyDescent="0.25">
      <c r="A57" t="s">
        <v>8</v>
      </c>
      <c r="B57" t="s">
        <v>40</v>
      </c>
    </row>
    <row r="58" spans="1:2" x14ac:dyDescent="0.25">
      <c r="A58" t="s">
        <v>5</v>
      </c>
      <c r="B58" t="s">
        <v>34</v>
      </c>
    </row>
    <row r="59" spans="1:2" x14ac:dyDescent="0.25">
      <c r="A59" t="s">
        <v>110</v>
      </c>
      <c r="B59" t="s">
        <v>62</v>
      </c>
    </row>
    <row r="60" spans="1:2" x14ac:dyDescent="0.25">
      <c r="A60" t="s">
        <v>101</v>
      </c>
      <c r="B60" t="s">
        <v>43</v>
      </c>
    </row>
    <row r="61" spans="1:2" x14ac:dyDescent="0.25">
      <c r="A61" t="s">
        <v>98</v>
      </c>
      <c r="B61" t="s">
        <v>37</v>
      </c>
    </row>
    <row r="62" spans="1:2" x14ac:dyDescent="0.25">
      <c r="A62" t="s">
        <v>151</v>
      </c>
      <c r="B62" t="s">
        <v>152</v>
      </c>
    </row>
    <row r="63" spans="1:2" x14ac:dyDescent="0.25">
      <c r="A63" t="s">
        <v>149</v>
      </c>
      <c r="B63" t="s">
        <v>150</v>
      </c>
    </row>
    <row r="64" spans="1:2" x14ac:dyDescent="0.25">
      <c r="A64" t="s">
        <v>117</v>
      </c>
      <c r="B64" t="s">
        <v>38</v>
      </c>
    </row>
    <row r="65" spans="1:2" x14ac:dyDescent="0.25">
      <c r="A65" t="s">
        <v>96</v>
      </c>
      <c r="B65" t="s">
        <v>35</v>
      </c>
    </row>
    <row r="66" spans="1:2" x14ac:dyDescent="0.25">
      <c r="A66" t="s">
        <v>128</v>
      </c>
      <c r="B66" t="s">
        <v>76</v>
      </c>
    </row>
    <row r="67" spans="1:2" x14ac:dyDescent="0.25">
      <c r="A67" t="s">
        <v>144</v>
      </c>
      <c r="B67" t="s">
        <v>82</v>
      </c>
    </row>
    <row r="68" spans="1:2" x14ac:dyDescent="0.25">
      <c r="A68" t="s">
        <v>145</v>
      </c>
      <c r="B68" t="s">
        <v>41</v>
      </c>
    </row>
    <row r="69" spans="1:2" x14ac:dyDescent="0.25">
      <c r="A69" t="s">
        <v>146</v>
      </c>
      <c r="B69" t="s">
        <v>33</v>
      </c>
    </row>
    <row r="70" spans="1:2" x14ac:dyDescent="0.25">
      <c r="A70" t="s">
        <v>162</v>
      </c>
      <c r="B70" t="s">
        <v>20</v>
      </c>
    </row>
    <row r="71" spans="1:2" x14ac:dyDescent="0.25">
      <c r="A71" t="s">
        <v>105</v>
      </c>
      <c r="B71" t="s">
        <v>54</v>
      </c>
    </row>
    <row r="72" spans="1:2" x14ac:dyDescent="0.25">
      <c r="A72" t="s">
        <v>51</v>
      </c>
      <c r="B72" t="s">
        <v>52</v>
      </c>
    </row>
    <row r="73" spans="1:2" x14ac:dyDescent="0.25">
      <c r="A73" t="s">
        <v>93</v>
      </c>
      <c r="B73" t="s">
        <v>28</v>
      </c>
    </row>
    <row r="74" spans="1:2" x14ac:dyDescent="0.25">
      <c r="A74" t="s">
        <v>92</v>
      </c>
      <c r="B74" t="s">
        <v>27</v>
      </c>
    </row>
    <row r="75" spans="1:2" x14ac:dyDescent="0.25">
      <c r="A75" t="s">
        <v>6</v>
      </c>
      <c r="B75" t="s">
        <v>84</v>
      </c>
    </row>
    <row r="76" spans="1:2" x14ac:dyDescent="0.25">
      <c r="A76" t="s">
        <v>111</v>
      </c>
      <c r="B76" t="s">
        <v>63</v>
      </c>
    </row>
    <row r="77" spans="1:2" x14ac:dyDescent="0.25">
      <c r="A77" t="s">
        <v>99</v>
      </c>
      <c r="B77" t="s">
        <v>39</v>
      </c>
    </row>
    <row r="78" spans="1:2" x14ac:dyDescent="0.25">
      <c r="A78" t="s">
        <v>166</v>
      </c>
      <c r="B78" t="s">
        <v>70</v>
      </c>
    </row>
    <row r="79" spans="1:2" x14ac:dyDescent="0.25">
      <c r="A79" t="s">
        <v>13</v>
      </c>
      <c r="B79" t="s">
        <v>70</v>
      </c>
    </row>
    <row r="80" spans="1:2" x14ac:dyDescent="0.25">
      <c r="A80" t="s">
        <v>160</v>
      </c>
      <c r="B80" t="s">
        <v>20</v>
      </c>
    </row>
    <row r="81" spans="1:2" x14ac:dyDescent="0.25">
      <c r="A81" t="s">
        <v>163</v>
      </c>
      <c r="B81" t="s">
        <v>20</v>
      </c>
    </row>
    <row r="82" spans="1:2" x14ac:dyDescent="0.25">
      <c r="A82" t="s">
        <v>100</v>
      </c>
      <c r="B82" t="s">
        <v>42</v>
      </c>
    </row>
    <row r="83" spans="1:2" x14ac:dyDescent="0.25">
      <c r="A83" t="s">
        <v>4</v>
      </c>
      <c r="B83" t="s">
        <v>24</v>
      </c>
    </row>
    <row r="84" spans="1:2" x14ac:dyDescent="0.25">
      <c r="A84" t="s">
        <v>116</v>
      </c>
      <c r="B84" t="s">
        <v>148</v>
      </c>
    </row>
    <row r="85" spans="1:2" x14ac:dyDescent="0.25">
      <c r="A85" t="s">
        <v>123</v>
      </c>
      <c r="B85" t="s">
        <v>46</v>
      </c>
    </row>
    <row r="86" spans="1:2" x14ac:dyDescent="0.25">
      <c r="A86" t="s">
        <v>97</v>
      </c>
      <c r="B86" t="s">
        <v>36</v>
      </c>
    </row>
    <row r="87" spans="1:2" x14ac:dyDescent="0.25">
      <c r="A87" t="s">
        <v>108</v>
      </c>
      <c r="B87" t="s">
        <v>59</v>
      </c>
    </row>
    <row r="88" spans="1:2" x14ac:dyDescent="0.25">
      <c r="A88" t="s">
        <v>124</v>
      </c>
      <c r="B88" t="s">
        <v>56</v>
      </c>
    </row>
    <row r="89" spans="1:2" x14ac:dyDescent="0.25">
      <c r="A89" t="s">
        <v>126</v>
      </c>
      <c r="B89" t="s">
        <v>73</v>
      </c>
    </row>
    <row r="90" spans="1:2" x14ac:dyDescent="0.25">
      <c r="A90" t="s">
        <v>170</v>
      </c>
      <c r="B90" s="2" t="s">
        <v>171</v>
      </c>
    </row>
    <row r="91" spans="1:2" x14ac:dyDescent="0.25">
      <c r="A91" t="s">
        <v>230</v>
      </c>
      <c r="B91" s="2" t="s">
        <v>238</v>
      </c>
    </row>
    <row r="92" spans="1:2" x14ac:dyDescent="0.25">
      <c r="A92" t="s">
        <v>214</v>
      </c>
      <c r="B92" t="s">
        <v>78</v>
      </c>
    </row>
    <row r="93" spans="1:2" x14ac:dyDescent="0.25">
      <c r="A93" t="s">
        <v>231</v>
      </c>
      <c r="B93" t="s">
        <v>79</v>
      </c>
    </row>
    <row r="94" spans="1:2" x14ac:dyDescent="0.25">
      <c r="A94" t="s">
        <v>232</v>
      </c>
      <c r="B94" t="s">
        <v>85</v>
      </c>
    </row>
    <row r="95" spans="1:2" x14ac:dyDescent="0.25">
      <c r="A95" t="s">
        <v>233</v>
      </c>
      <c r="B95" t="s">
        <v>68</v>
      </c>
    </row>
    <row r="96" spans="1:2" x14ac:dyDescent="0.25">
      <c r="A96" t="s">
        <v>215</v>
      </c>
      <c r="B96" t="s">
        <v>42</v>
      </c>
    </row>
    <row r="97" spans="1:2" x14ac:dyDescent="0.25">
      <c r="A97" t="s">
        <v>234</v>
      </c>
      <c r="B97" t="s">
        <v>30</v>
      </c>
    </row>
    <row r="98" spans="1:2" x14ac:dyDescent="0.25">
      <c r="A98" t="s">
        <v>235</v>
      </c>
      <c r="B98" t="s">
        <v>30</v>
      </c>
    </row>
    <row r="99" spans="1:2" x14ac:dyDescent="0.25">
      <c r="A99" t="s">
        <v>236</v>
      </c>
      <c r="B99" t="s">
        <v>33</v>
      </c>
    </row>
    <row r="100" spans="1:2" x14ac:dyDescent="0.25">
      <c r="A100" t="s">
        <v>146</v>
      </c>
      <c r="B100" t="s">
        <v>33</v>
      </c>
    </row>
    <row r="101" spans="1:2" x14ac:dyDescent="0.25">
      <c r="A101" t="s">
        <v>217</v>
      </c>
      <c r="B101" t="s">
        <v>20</v>
      </c>
    </row>
    <row r="102" spans="1:2" x14ac:dyDescent="0.25">
      <c r="A102" t="s">
        <v>218</v>
      </c>
      <c r="B102" s="2" t="s">
        <v>58</v>
      </c>
    </row>
    <row r="103" spans="1:2" x14ac:dyDescent="0.25">
      <c r="A103" t="s">
        <v>107</v>
      </c>
      <c r="B103" s="2" t="s">
        <v>58</v>
      </c>
    </row>
    <row r="104" spans="1:2" x14ac:dyDescent="0.25">
      <c r="A104" t="s">
        <v>237</v>
      </c>
      <c r="B104" t="s">
        <v>28</v>
      </c>
    </row>
    <row r="105" spans="1:2" x14ac:dyDescent="0.25">
      <c r="A105" t="s">
        <v>219</v>
      </c>
      <c r="B105" t="s">
        <v>25</v>
      </c>
    </row>
    <row r="106" spans="1:2" x14ac:dyDescent="0.25">
      <c r="A106" t="s">
        <v>220</v>
      </c>
      <c r="B106" t="s">
        <v>41</v>
      </c>
    </row>
  </sheetData>
  <hyperlinks>
    <hyperlink ref="B3" r:id="rId1" xr:uid="{EE8CE041-A280-47B8-8445-7AFBFBA06975}"/>
    <hyperlink ref="B90" r:id="rId2" xr:uid="{D1E3098B-DFFC-4108-AD13-2349EC8AE622}"/>
    <hyperlink ref="B37" r:id="rId3" xr:uid="{1149BF15-9530-4066-9B9A-B44353B63B4F}"/>
    <hyperlink ref="B102" r:id="rId4" xr:uid="{4938C601-81F5-46D7-A8D2-C23476631072}"/>
    <hyperlink ref="B103" r:id="rId5" xr:uid="{46E6C4B1-E9A1-4337-A9D4-2FD90AFA0EB1}"/>
  </hyperlinks>
  <pageMargins left="0.7" right="0.7" top="0.75" bottom="0.75" header="0.3" footer="0.3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57CF-3E68-4C31-B297-158B9921580B}">
  <sheetPr codeName="Hoja1"/>
  <dimension ref="B1:U32"/>
  <sheetViews>
    <sheetView topLeftCell="A2" zoomScale="115" zoomScaleNormal="115" workbookViewId="0">
      <selection activeCell="J5" sqref="J5"/>
    </sheetView>
  </sheetViews>
  <sheetFormatPr baseColWidth="10" defaultRowHeight="14.3" x14ac:dyDescent="0.25"/>
  <cols>
    <col min="4" max="4" width="27.125" bestFit="1" customWidth="1"/>
    <col min="6" max="6" width="43.25" bestFit="1" customWidth="1"/>
    <col min="7" max="7" width="13.375" bestFit="1" customWidth="1"/>
    <col min="9" max="9" width="13.625" customWidth="1"/>
    <col min="10" max="10" width="13.75" customWidth="1"/>
    <col min="12" max="12" width="15.25" bestFit="1" customWidth="1"/>
    <col min="13" max="13" width="18.125" bestFit="1" customWidth="1"/>
    <col min="19" max="19" width="20.625" customWidth="1"/>
    <col min="20" max="20" width="12.625" bestFit="1" customWidth="1"/>
    <col min="21" max="21" width="15.375" customWidth="1"/>
  </cols>
  <sheetData>
    <row r="1" spans="2:21" x14ac:dyDescent="0.25">
      <c r="B1" s="10" t="s">
        <v>179</v>
      </c>
      <c r="C1" s="8" t="s">
        <v>173</v>
      </c>
      <c r="D1" s="8" t="s">
        <v>174</v>
      </c>
      <c r="E1" s="8" t="s">
        <v>175</v>
      </c>
      <c r="F1" s="9" t="s">
        <v>176</v>
      </c>
      <c r="G1" s="9" t="s">
        <v>197</v>
      </c>
      <c r="Q1" s="8" t="s">
        <v>179</v>
      </c>
      <c r="R1" s="8" t="s">
        <v>173</v>
      </c>
      <c r="S1" s="8" t="s">
        <v>174</v>
      </c>
      <c r="T1" s="8" t="s">
        <v>175</v>
      </c>
      <c r="U1" s="9" t="s">
        <v>176</v>
      </c>
    </row>
    <row r="2" spans="2:21" x14ac:dyDescent="0.25">
      <c r="B2" s="10">
        <v>1</v>
      </c>
      <c r="C2" s="5">
        <v>2583</v>
      </c>
      <c r="D2" s="3" t="s">
        <v>10</v>
      </c>
      <c r="E2" t="s">
        <v>178</v>
      </c>
      <c r="F2" t="s">
        <v>207</v>
      </c>
      <c r="Q2">
        <v>1</v>
      </c>
      <c r="S2" t="s">
        <v>109</v>
      </c>
      <c r="T2" t="s">
        <v>178</v>
      </c>
    </row>
    <row r="3" spans="2:21" ht="17" thickBot="1" x14ac:dyDescent="0.35">
      <c r="B3" s="10">
        <v>2</v>
      </c>
      <c r="C3" s="5">
        <v>2607</v>
      </c>
      <c r="D3" s="3" t="s">
        <v>201</v>
      </c>
      <c r="E3" t="s">
        <v>178</v>
      </c>
      <c r="F3" s="23" t="s">
        <v>202</v>
      </c>
      <c r="G3" s="7"/>
      <c r="Q3">
        <v>2</v>
      </c>
      <c r="S3" t="s">
        <v>213</v>
      </c>
      <c r="T3" t="s">
        <v>178</v>
      </c>
    </row>
    <row r="4" spans="2:21" ht="14.95" thickBot="1" x14ac:dyDescent="0.3">
      <c r="B4" s="10">
        <v>3</v>
      </c>
      <c r="C4" s="6">
        <v>2574</v>
      </c>
      <c r="D4" s="4" t="s">
        <v>5</v>
      </c>
      <c r="E4" t="s">
        <v>178</v>
      </c>
      <c r="F4" t="s">
        <v>210</v>
      </c>
      <c r="G4" t="s">
        <v>196</v>
      </c>
      <c r="I4" s="11" t="s">
        <v>191</v>
      </c>
      <c r="J4" s="12" t="s">
        <v>190</v>
      </c>
      <c r="Q4">
        <v>3</v>
      </c>
      <c r="S4" t="s">
        <v>48</v>
      </c>
      <c r="T4" t="s">
        <v>178</v>
      </c>
    </row>
    <row r="5" spans="2:21" x14ac:dyDescent="0.25">
      <c r="B5" s="10">
        <v>4</v>
      </c>
      <c r="C5" s="5">
        <v>2586</v>
      </c>
      <c r="D5" s="3" t="s">
        <v>157</v>
      </c>
      <c r="E5" t="s">
        <v>178</v>
      </c>
      <c r="F5" s="20" t="s">
        <v>211</v>
      </c>
      <c r="I5" s="13" t="s">
        <v>188</v>
      </c>
      <c r="J5" s="16">
        <f>COUNTIF(E2:E29,"Resuelto")</f>
        <v>28</v>
      </c>
      <c r="Q5">
        <v>4</v>
      </c>
      <c r="S5" t="s">
        <v>71</v>
      </c>
      <c r="T5" t="s">
        <v>178</v>
      </c>
    </row>
    <row r="6" spans="2:21" ht="14.95" thickBot="1" x14ac:dyDescent="0.3">
      <c r="B6" s="10">
        <v>5</v>
      </c>
      <c r="C6" s="5">
        <v>2585</v>
      </c>
      <c r="D6" s="3" t="s">
        <v>156</v>
      </c>
      <c r="E6" t="s">
        <v>178</v>
      </c>
      <c r="F6" t="s">
        <v>212</v>
      </c>
      <c r="I6" s="14" t="s">
        <v>189</v>
      </c>
      <c r="J6" s="17">
        <f>COUNTA(B2:B29)-COUNTIF(E2:E29,"Resuelto")</f>
        <v>0</v>
      </c>
      <c r="Q6">
        <v>5</v>
      </c>
      <c r="S6" t="s">
        <v>66</v>
      </c>
      <c r="T6" t="s">
        <v>178</v>
      </c>
    </row>
    <row r="7" spans="2:21" ht="14.95" thickBot="1" x14ac:dyDescent="0.3">
      <c r="B7" s="10">
        <v>6</v>
      </c>
      <c r="C7" s="5">
        <v>2592</v>
      </c>
      <c r="D7" s="3" t="s">
        <v>2</v>
      </c>
      <c r="E7" t="s">
        <v>178</v>
      </c>
      <c r="F7" s="20" t="s">
        <v>203</v>
      </c>
      <c r="G7" t="s">
        <v>196</v>
      </c>
      <c r="I7" s="11" t="s">
        <v>190</v>
      </c>
      <c r="J7" s="12">
        <f>J5+J6</f>
        <v>28</v>
      </c>
      <c r="Q7">
        <v>6</v>
      </c>
    </row>
    <row r="8" spans="2:21" x14ac:dyDescent="0.25">
      <c r="B8" s="10">
        <v>7</v>
      </c>
      <c r="C8" s="6">
        <v>2577</v>
      </c>
      <c r="D8" s="4" t="s">
        <v>7</v>
      </c>
      <c r="E8" t="s">
        <v>178</v>
      </c>
      <c r="F8" s="21" t="s">
        <v>209</v>
      </c>
      <c r="G8" t="s">
        <v>196</v>
      </c>
      <c r="Q8">
        <v>7</v>
      </c>
    </row>
    <row r="9" spans="2:21" x14ac:dyDescent="0.25">
      <c r="B9" s="10">
        <v>8</v>
      </c>
      <c r="C9" s="5">
        <v>2578</v>
      </c>
      <c r="D9" s="3" t="s">
        <v>153</v>
      </c>
      <c r="E9" t="s">
        <v>178</v>
      </c>
      <c r="F9" s="21" t="s">
        <v>208</v>
      </c>
      <c r="G9" t="s">
        <v>115</v>
      </c>
      <c r="Q9">
        <v>8</v>
      </c>
    </row>
    <row r="10" spans="2:21" x14ac:dyDescent="0.25">
      <c r="B10" s="10">
        <v>9</v>
      </c>
      <c r="C10" s="6">
        <v>2584</v>
      </c>
      <c r="D10" s="4" t="s">
        <v>10</v>
      </c>
      <c r="E10" t="s">
        <v>178</v>
      </c>
      <c r="Q10">
        <v>9</v>
      </c>
    </row>
    <row r="11" spans="2:21" x14ac:dyDescent="0.25">
      <c r="B11" s="10">
        <v>10</v>
      </c>
      <c r="C11" s="5">
        <v>2579</v>
      </c>
      <c r="D11" s="3" t="s">
        <v>136</v>
      </c>
      <c r="E11" t="s">
        <v>178</v>
      </c>
      <c r="F11" t="s">
        <v>204</v>
      </c>
      <c r="Q11">
        <v>10</v>
      </c>
    </row>
    <row r="12" spans="2:21" x14ac:dyDescent="0.25">
      <c r="B12" s="10">
        <v>11</v>
      </c>
      <c r="C12" s="6">
        <v>2599</v>
      </c>
      <c r="D12" s="4" t="s">
        <v>184</v>
      </c>
      <c r="E12" t="s">
        <v>178</v>
      </c>
      <c r="F12" t="s">
        <v>195</v>
      </c>
      <c r="Q12">
        <v>11</v>
      </c>
    </row>
    <row r="13" spans="2:21" x14ac:dyDescent="0.25">
      <c r="B13" s="10">
        <v>12</v>
      </c>
      <c r="C13" s="6">
        <v>2590</v>
      </c>
      <c r="D13" s="4" t="s">
        <v>159</v>
      </c>
      <c r="E13" t="s">
        <v>178</v>
      </c>
      <c r="F13" t="s">
        <v>205</v>
      </c>
      <c r="G13" t="s">
        <v>115</v>
      </c>
    </row>
    <row r="14" spans="2:21" x14ac:dyDescent="0.25">
      <c r="B14" s="10">
        <v>13</v>
      </c>
      <c r="C14" s="5">
        <v>2575</v>
      </c>
      <c r="D14" s="3" t="s">
        <v>181</v>
      </c>
      <c r="E14" t="s">
        <v>178</v>
      </c>
      <c r="F14" t="s">
        <v>185</v>
      </c>
    </row>
    <row r="15" spans="2:21" x14ac:dyDescent="0.25">
      <c r="B15" s="10">
        <v>14</v>
      </c>
      <c r="C15" s="6">
        <v>2580</v>
      </c>
      <c r="D15" s="4" t="s">
        <v>183</v>
      </c>
      <c r="E15" t="s">
        <v>178</v>
      </c>
      <c r="F15" t="s">
        <v>206</v>
      </c>
    </row>
    <row r="16" spans="2:21" x14ac:dyDescent="0.25">
      <c r="B16" s="10">
        <v>15</v>
      </c>
      <c r="C16" s="6">
        <v>2570</v>
      </c>
      <c r="D16" s="4" t="s">
        <v>172</v>
      </c>
      <c r="E16" t="s">
        <v>178</v>
      </c>
    </row>
    <row r="17" spans="2:17" x14ac:dyDescent="0.25">
      <c r="B17" s="10">
        <v>16</v>
      </c>
      <c r="C17" s="5">
        <v>2591</v>
      </c>
      <c r="D17" s="3" t="s">
        <v>11</v>
      </c>
      <c r="E17" t="s">
        <v>178</v>
      </c>
      <c r="F17" s="20" t="s">
        <v>199</v>
      </c>
      <c r="G17" t="s">
        <v>196</v>
      </c>
    </row>
    <row r="18" spans="2:17" x14ac:dyDescent="0.25">
      <c r="B18" s="10">
        <v>17</v>
      </c>
      <c r="C18" s="6">
        <v>2588</v>
      </c>
      <c r="D18" s="4" t="s">
        <v>158</v>
      </c>
      <c r="E18" t="s">
        <v>178</v>
      </c>
      <c r="F18" t="s">
        <v>187</v>
      </c>
    </row>
    <row r="19" spans="2:17" x14ac:dyDescent="0.25">
      <c r="B19" s="10">
        <v>18</v>
      </c>
      <c r="C19" s="5">
        <v>2582</v>
      </c>
      <c r="D19" s="3" t="s">
        <v>155</v>
      </c>
      <c r="E19" t="s">
        <v>178</v>
      </c>
    </row>
    <row r="20" spans="2:17" x14ac:dyDescent="0.25">
      <c r="B20" s="10">
        <v>19</v>
      </c>
      <c r="C20" s="6">
        <v>2581</v>
      </c>
      <c r="D20" s="4" t="s">
        <v>182</v>
      </c>
      <c r="E20" t="s">
        <v>194</v>
      </c>
      <c r="F20" t="s">
        <v>193</v>
      </c>
    </row>
    <row r="21" spans="2:17" x14ac:dyDescent="0.25">
      <c r="B21" s="10">
        <v>20</v>
      </c>
      <c r="C21" s="6">
        <v>2598</v>
      </c>
      <c r="D21" s="4" t="s">
        <v>12</v>
      </c>
      <c r="E21" t="s">
        <v>178</v>
      </c>
      <c r="F21" s="15"/>
      <c r="G21" t="s">
        <v>198</v>
      </c>
    </row>
    <row r="22" spans="2:17" x14ac:dyDescent="0.25">
      <c r="B22" s="10">
        <v>21</v>
      </c>
      <c r="C22" s="5">
        <v>2594</v>
      </c>
      <c r="D22" s="3" t="s">
        <v>161</v>
      </c>
      <c r="E22" t="s">
        <v>178</v>
      </c>
      <c r="F22" t="s">
        <v>185</v>
      </c>
    </row>
    <row r="23" spans="2:17" ht="16.3" x14ac:dyDescent="0.3">
      <c r="B23" s="10">
        <v>22</v>
      </c>
      <c r="C23" s="5">
        <v>2601</v>
      </c>
      <c r="D23" s="30" t="s">
        <v>14</v>
      </c>
      <c r="E23" t="s">
        <v>178</v>
      </c>
      <c r="F23" s="7" t="s">
        <v>180</v>
      </c>
      <c r="G23" s="7"/>
    </row>
    <row r="24" spans="2:17" x14ac:dyDescent="0.25">
      <c r="B24" s="10">
        <v>23</v>
      </c>
      <c r="C24" s="6">
        <v>2597</v>
      </c>
      <c r="D24" s="4" t="s">
        <v>164</v>
      </c>
      <c r="E24" t="s">
        <v>178</v>
      </c>
      <c r="F24" s="20" t="s">
        <v>200</v>
      </c>
      <c r="G24" t="s">
        <v>196</v>
      </c>
    </row>
    <row r="25" spans="2:17" x14ac:dyDescent="0.25">
      <c r="B25" s="10">
        <v>24</v>
      </c>
      <c r="C25" s="5">
        <v>2595</v>
      </c>
      <c r="D25" s="3" t="s">
        <v>162</v>
      </c>
      <c r="E25" t="s">
        <v>178</v>
      </c>
      <c r="F25" t="s">
        <v>186</v>
      </c>
    </row>
    <row r="26" spans="2:17" x14ac:dyDescent="0.25">
      <c r="B26" s="10">
        <v>25</v>
      </c>
      <c r="C26" s="6">
        <v>2576</v>
      </c>
      <c r="D26" s="4" t="s">
        <v>6</v>
      </c>
      <c r="E26" t="s">
        <v>178</v>
      </c>
    </row>
    <row r="27" spans="2:17" ht="16.3" x14ac:dyDescent="0.3">
      <c r="B27" s="10">
        <v>26</v>
      </c>
      <c r="C27" s="5">
        <v>2600</v>
      </c>
      <c r="D27" s="3" t="s">
        <v>166</v>
      </c>
      <c r="E27" t="s">
        <v>178</v>
      </c>
      <c r="F27" s="7" t="s">
        <v>177</v>
      </c>
      <c r="G27" s="7"/>
    </row>
    <row r="28" spans="2:17" x14ac:dyDescent="0.25">
      <c r="B28" s="10">
        <v>27</v>
      </c>
      <c r="C28" s="6">
        <v>2593</v>
      </c>
      <c r="D28" s="4" t="s">
        <v>160</v>
      </c>
      <c r="E28" t="s">
        <v>178</v>
      </c>
      <c r="F28" t="s">
        <v>192</v>
      </c>
    </row>
    <row r="29" spans="2:17" x14ac:dyDescent="0.25">
      <c r="B29" s="10">
        <v>28</v>
      </c>
      <c r="C29" s="18">
        <v>2596</v>
      </c>
      <c r="D29" s="19" t="s">
        <v>163</v>
      </c>
      <c r="E29" t="s">
        <v>178</v>
      </c>
    </row>
    <row r="32" spans="2:17" x14ac:dyDescent="0.25">
      <c r="O32" s="24"/>
      <c r="P32" s="25"/>
      <c r="Q32" s="26"/>
    </row>
  </sheetData>
  <phoneticPr fontId="5" type="noConversion"/>
  <conditionalFormatting sqref="E2:E29">
    <cfRule type="containsText" dxfId="1" priority="1" operator="containsText" text="Resuelto">
      <formula>NOT(ISERROR(SEARCH("Resuelto",E2)))</formula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3458-93C1-4106-9503-7BBEC49A773C}">
  <dimension ref="A1:U56"/>
  <sheetViews>
    <sheetView tabSelected="1" zoomScaleNormal="100" workbookViewId="0">
      <selection activeCell="C4" sqref="C4"/>
    </sheetView>
  </sheetViews>
  <sheetFormatPr baseColWidth="10" defaultRowHeight="14.3" x14ac:dyDescent="0.25"/>
  <cols>
    <col min="3" max="3" width="30.125" bestFit="1" customWidth="1"/>
    <col min="5" max="5" width="65.75" bestFit="1" customWidth="1"/>
    <col min="6" max="6" width="41.25" customWidth="1"/>
    <col min="7" max="7" width="13.375" bestFit="1" customWidth="1"/>
    <col min="9" max="9" width="13.625" customWidth="1"/>
    <col min="10" max="10" width="13.75" customWidth="1"/>
    <col min="12" max="12" width="15.25" bestFit="1" customWidth="1"/>
    <col min="13" max="13" width="18.125" bestFit="1" customWidth="1"/>
    <col min="19" max="19" width="18.125" bestFit="1" customWidth="1"/>
    <col min="20" max="20" width="12.625" bestFit="1" customWidth="1"/>
    <col min="21" max="21" width="15.375" customWidth="1"/>
  </cols>
  <sheetData>
    <row r="1" spans="1:21" x14ac:dyDescent="0.25">
      <c r="A1" s="10" t="s">
        <v>179</v>
      </c>
      <c r="B1" s="8" t="s">
        <v>173</v>
      </c>
      <c r="C1" s="8" t="s">
        <v>174</v>
      </c>
      <c r="D1" s="8" t="s">
        <v>175</v>
      </c>
      <c r="E1" s="9" t="s">
        <v>176</v>
      </c>
      <c r="F1" s="9" t="s">
        <v>251</v>
      </c>
      <c r="G1" s="9" t="s">
        <v>197</v>
      </c>
      <c r="Q1" s="8" t="s">
        <v>179</v>
      </c>
      <c r="R1" s="8" t="s">
        <v>173</v>
      </c>
      <c r="S1" s="8" t="s">
        <v>174</v>
      </c>
      <c r="T1" s="8" t="s">
        <v>175</v>
      </c>
      <c r="U1" s="9" t="s">
        <v>176</v>
      </c>
    </row>
    <row r="2" spans="1:21" ht="16.3" x14ac:dyDescent="0.3">
      <c r="A2" s="10">
        <v>1</v>
      </c>
      <c r="B2" s="5">
        <v>2655</v>
      </c>
      <c r="C2" s="3" t="s">
        <v>106</v>
      </c>
      <c r="D2" t="s">
        <v>178</v>
      </c>
      <c r="E2" s="23" t="s">
        <v>244</v>
      </c>
      <c r="F2" s="23"/>
      <c r="G2" s="7"/>
      <c r="Q2">
        <v>1</v>
      </c>
    </row>
    <row r="3" spans="1:21" ht="14.95" thickBot="1" x14ac:dyDescent="0.3">
      <c r="A3" s="10">
        <v>2</v>
      </c>
      <c r="B3" s="5">
        <v>2658</v>
      </c>
      <c r="C3" s="3" t="s">
        <v>231</v>
      </c>
      <c r="G3" t="s">
        <v>245</v>
      </c>
      <c r="Q3">
        <v>2</v>
      </c>
    </row>
    <row r="4" spans="1:21" ht="14.95" thickBot="1" x14ac:dyDescent="0.3">
      <c r="A4" s="10">
        <v>3</v>
      </c>
      <c r="B4" s="6">
        <v>2660</v>
      </c>
      <c r="C4" s="4" t="s">
        <v>233</v>
      </c>
      <c r="E4" s="21" t="s">
        <v>254</v>
      </c>
      <c r="F4" s="21"/>
      <c r="G4" t="s">
        <v>245</v>
      </c>
      <c r="I4" s="11" t="s">
        <v>191</v>
      </c>
      <c r="J4" s="12" t="s">
        <v>190</v>
      </c>
      <c r="Q4">
        <v>3</v>
      </c>
    </row>
    <row r="5" spans="1:21" ht="28.55" x14ac:dyDescent="0.25">
      <c r="A5" s="10">
        <v>4</v>
      </c>
      <c r="B5" s="36">
        <v>2667</v>
      </c>
      <c r="C5" s="34" t="s">
        <v>243</v>
      </c>
      <c r="D5" s="28" t="s">
        <v>178</v>
      </c>
      <c r="E5" s="35" t="s">
        <v>253</v>
      </c>
      <c r="F5" s="31" t="s">
        <v>252</v>
      </c>
      <c r="I5" s="32" t="s">
        <v>188</v>
      </c>
      <c r="J5" s="33">
        <f>COUNTIF(D2:D25,"Resuelto")</f>
        <v>14</v>
      </c>
      <c r="Q5">
        <v>4</v>
      </c>
    </row>
    <row r="6" spans="1:21" ht="14.95" thickBot="1" x14ac:dyDescent="0.3">
      <c r="A6" s="10">
        <v>5</v>
      </c>
      <c r="B6" s="5">
        <v>2661</v>
      </c>
      <c r="C6" s="3" t="s">
        <v>91</v>
      </c>
      <c r="D6" t="s">
        <v>178</v>
      </c>
      <c r="E6" t="s">
        <v>241</v>
      </c>
      <c r="G6" t="s">
        <v>115</v>
      </c>
      <c r="I6" s="14" t="s">
        <v>189</v>
      </c>
      <c r="J6" s="17">
        <f>COUNTA(A2:A22)-COUNTIF(D2:D22,"Resuelto")</f>
        <v>7</v>
      </c>
      <c r="Q6">
        <v>5</v>
      </c>
    </row>
    <row r="7" spans="1:21" ht="14.95" thickBot="1" x14ac:dyDescent="0.3">
      <c r="A7" s="10">
        <v>6</v>
      </c>
      <c r="B7" s="5">
        <v>2657</v>
      </c>
      <c r="C7" s="3" t="s">
        <v>214</v>
      </c>
      <c r="D7" t="s">
        <v>178</v>
      </c>
      <c r="E7" s="20" t="s">
        <v>248</v>
      </c>
      <c r="F7" s="20"/>
      <c r="G7" t="s">
        <v>245</v>
      </c>
      <c r="I7" s="11" t="s">
        <v>190</v>
      </c>
      <c r="J7" s="12">
        <f>J5+J6</f>
        <v>21</v>
      </c>
    </row>
    <row r="8" spans="1:21" x14ac:dyDescent="0.25">
      <c r="A8" s="10">
        <v>7</v>
      </c>
      <c r="B8" s="5">
        <v>2654</v>
      </c>
      <c r="C8" s="3" t="s">
        <v>230</v>
      </c>
      <c r="D8" t="s">
        <v>178</v>
      </c>
      <c r="E8" t="s">
        <v>246</v>
      </c>
      <c r="G8" t="s">
        <v>245</v>
      </c>
    </row>
    <row r="9" spans="1:21" x14ac:dyDescent="0.25">
      <c r="A9" s="10">
        <v>9</v>
      </c>
      <c r="B9" s="6">
        <v>2668</v>
      </c>
      <c r="C9" s="4" t="s">
        <v>234</v>
      </c>
    </row>
    <row r="10" spans="1:21" x14ac:dyDescent="0.25">
      <c r="A10" s="10">
        <v>10</v>
      </c>
      <c r="B10" s="5">
        <v>2669</v>
      </c>
      <c r="C10" s="3" t="s">
        <v>235</v>
      </c>
      <c r="E10" s="20"/>
      <c r="F10" s="20"/>
    </row>
    <row r="11" spans="1:21" x14ac:dyDescent="0.25">
      <c r="A11" s="10">
        <v>11</v>
      </c>
      <c r="B11" s="5">
        <v>2671</v>
      </c>
      <c r="C11" s="3" t="s">
        <v>120</v>
      </c>
      <c r="D11" t="s">
        <v>178</v>
      </c>
      <c r="E11" t="s">
        <v>247</v>
      </c>
      <c r="G11" t="s">
        <v>196</v>
      </c>
    </row>
    <row r="12" spans="1:21" x14ac:dyDescent="0.25">
      <c r="A12" s="10">
        <v>12</v>
      </c>
      <c r="B12" s="5">
        <v>2674</v>
      </c>
      <c r="C12" s="3" t="s">
        <v>218</v>
      </c>
      <c r="D12" t="s">
        <v>178</v>
      </c>
      <c r="E12" t="s">
        <v>239</v>
      </c>
    </row>
    <row r="13" spans="1:21" x14ac:dyDescent="0.25">
      <c r="A13" s="10">
        <v>13</v>
      </c>
      <c r="B13" s="5">
        <v>2677</v>
      </c>
      <c r="C13" s="3" t="s">
        <v>219</v>
      </c>
      <c r="D13" t="s">
        <v>194</v>
      </c>
      <c r="E13" t="s">
        <v>250</v>
      </c>
      <c r="G13" t="s">
        <v>245</v>
      </c>
    </row>
    <row r="14" spans="1:21" x14ac:dyDescent="0.25">
      <c r="A14" s="10">
        <v>15</v>
      </c>
      <c r="B14" s="6">
        <v>2673</v>
      </c>
      <c r="C14" s="4" t="s">
        <v>217</v>
      </c>
      <c r="D14" t="s">
        <v>178</v>
      </c>
      <c r="E14" s="15" t="s">
        <v>242</v>
      </c>
      <c r="F14" s="15"/>
    </row>
    <row r="15" spans="1:21" x14ac:dyDescent="0.25">
      <c r="A15" s="10">
        <v>16</v>
      </c>
      <c r="B15" s="5">
        <v>2659</v>
      </c>
      <c r="C15" s="3" t="s">
        <v>232</v>
      </c>
      <c r="E15" s="20" t="s">
        <v>257</v>
      </c>
      <c r="F15" s="20"/>
    </row>
    <row r="16" spans="1:21" x14ac:dyDescent="0.25">
      <c r="A16" s="10">
        <v>17</v>
      </c>
      <c r="B16" s="6">
        <v>2662</v>
      </c>
      <c r="C16" s="4" t="s">
        <v>110</v>
      </c>
      <c r="D16" t="s">
        <v>178</v>
      </c>
      <c r="E16" s="29" t="s">
        <v>256</v>
      </c>
      <c r="F16" s="29"/>
    </row>
    <row r="17" spans="1:17" ht="16.3" x14ac:dyDescent="0.3">
      <c r="A17" s="10">
        <v>19</v>
      </c>
      <c r="B17" s="5">
        <v>2675</v>
      </c>
      <c r="C17" s="3" t="s">
        <v>144</v>
      </c>
      <c r="D17" t="s">
        <v>178</v>
      </c>
      <c r="E17" s="7" t="s">
        <v>249</v>
      </c>
      <c r="F17" s="7"/>
      <c r="G17" s="7"/>
    </row>
    <row r="18" spans="1:17" x14ac:dyDescent="0.25">
      <c r="A18" s="10">
        <v>20</v>
      </c>
      <c r="B18" s="6">
        <v>2678</v>
      </c>
      <c r="C18" s="4" t="s">
        <v>220</v>
      </c>
      <c r="D18" t="s">
        <v>178</v>
      </c>
      <c r="E18" t="s">
        <v>253</v>
      </c>
    </row>
    <row r="19" spans="1:17" x14ac:dyDescent="0.25">
      <c r="A19" s="10">
        <v>21</v>
      </c>
      <c r="B19" s="6">
        <v>2670</v>
      </c>
      <c r="C19" s="4" t="s">
        <v>236</v>
      </c>
      <c r="D19" t="s">
        <v>178</v>
      </c>
      <c r="E19" t="s">
        <v>241</v>
      </c>
      <c r="G19" t="s">
        <v>115</v>
      </c>
    </row>
    <row r="20" spans="1:17" x14ac:dyDescent="0.25">
      <c r="A20" s="10">
        <v>22</v>
      </c>
      <c r="B20" s="6">
        <v>2676</v>
      </c>
      <c r="C20" s="4" t="s">
        <v>237</v>
      </c>
      <c r="E20" s="20"/>
      <c r="F20" s="20"/>
    </row>
    <row r="21" spans="1:17" ht="17" customHeight="1" x14ac:dyDescent="0.25">
      <c r="A21" s="10">
        <v>24</v>
      </c>
      <c r="B21" s="5">
        <v>2663</v>
      </c>
      <c r="C21" s="3" t="s">
        <v>215</v>
      </c>
      <c r="Q21" s="26"/>
    </row>
    <row r="22" spans="1:17" x14ac:dyDescent="0.25">
      <c r="A22" s="10">
        <v>25</v>
      </c>
      <c r="B22" s="6">
        <v>2664</v>
      </c>
      <c r="C22" s="4" t="s">
        <v>97</v>
      </c>
      <c r="D22" t="s">
        <v>178</v>
      </c>
      <c r="E22" t="s">
        <v>240</v>
      </c>
    </row>
    <row r="23" spans="1:17" ht="16.3" x14ac:dyDescent="0.3">
      <c r="A23" s="10">
        <v>26</v>
      </c>
      <c r="B23" s="5"/>
      <c r="C23" s="3"/>
      <c r="E23" s="7"/>
      <c r="F23" s="7"/>
      <c r="G23" s="7"/>
    </row>
    <row r="24" spans="1:17" x14ac:dyDescent="0.25">
      <c r="A24" s="10">
        <v>27</v>
      </c>
      <c r="B24" s="6"/>
      <c r="C24" s="4"/>
    </row>
    <row r="25" spans="1:17" x14ac:dyDescent="0.25">
      <c r="A25" s="10">
        <v>28</v>
      </c>
      <c r="B25" s="18"/>
      <c r="C25" s="19"/>
    </row>
    <row r="27" spans="1:17" x14ac:dyDescent="0.25">
      <c r="D27" t="s">
        <v>129</v>
      </c>
      <c r="E27" s="15">
        <v>46098</v>
      </c>
      <c r="F27" t="s">
        <v>255</v>
      </c>
    </row>
    <row r="28" spans="1:17" x14ac:dyDescent="0.25">
      <c r="O28" s="24"/>
      <c r="P28" s="25"/>
    </row>
    <row r="32" spans="1:17" x14ac:dyDescent="0.25">
      <c r="B32" s="27">
        <v>1</v>
      </c>
      <c r="C32" s="27" t="s">
        <v>230</v>
      </c>
      <c r="D32" s="28" t="s">
        <v>221</v>
      </c>
      <c r="E32">
        <v>15</v>
      </c>
    </row>
    <row r="33" spans="2:4" x14ac:dyDescent="0.25">
      <c r="B33" s="27">
        <v>2</v>
      </c>
      <c r="C33" s="27" t="s">
        <v>106</v>
      </c>
      <c r="D33" s="28" t="s">
        <v>222</v>
      </c>
    </row>
    <row r="34" spans="2:4" x14ac:dyDescent="0.25">
      <c r="B34" s="27">
        <v>3</v>
      </c>
      <c r="C34" s="27" t="s">
        <v>99</v>
      </c>
      <c r="D34" s="28" t="s">
        <v>222</v>
      </c>
    </row>
    <row r="35" spans="2:4" x14ac:dyDescent="0.25">
      <c r="B35" s="27">
        <v>4</v>
      </c>
      <c r="C35" s="27" t="s">
        <v>214</v>
      </c>
      <c r="D35" s="28" t="s">
        <v>222</v>
      </c>
    </row>
    <row r="36" spans="2:4" x14ac:dyDescent="0.25">
      <c r="B36" s="27">
        <v>5</v>
      </c>
      <c r="C36" s="27" t="s">
        <v>131</v>
      </c>
      <c r="D36" s="28" t="s">
        <v>222</v>
      </c>
    </row>
    <row r="37" spans="2:4" x14ac:dyDescent="0.25">
      <c r="B37" s="27">
        <v>6</v>
      </c>
      <c r="C37" s="27" t="s">
        <v>143</v>
      </c>
      <c r="D37" s="28" t="s">
        <v>222</v>
      </c>
    </row>
    <row r="38" spans="2:4" x14ac:dyDescent="0.25">
      <c r="B38" s="27">
        <v>7</v>
      </c>
      <c r="C38" s="27" t="s">
        <v>113</v>
      </c>
      <c r="D38" s="28" t="s">
        <v>154</v>
      </c>
    </row>
    <row r="39" spans="2:4" x14ac:dyDescent="0.25">
      <c r="B39" s="27">
        <v>8</v>
      </c>
      <c r="C39" s="27" t="s">
        <v>91</v>
      </c>
      <c r="D39" s="28" t="s">
        <v>154</v>
      </c>
    </row>
    <row r="40" spans="2:4" x14ac:dyDescent="0.25">
      <c r="B40" s="27">
        <v>9</v>
      </c>
      <c r="C40" s="27" t="s">
        <v>110</v>
      </c>
      <c r="D40" s="28" t="s">
        <v>154</v>
      </c>
    </row>
    <row r="41" spans="2:4" x14ac:dyDescent="0.25">
      <c r="B41" s="27">
        <v>10</v>
      </c>
      <c r="C41" s="27" t="s">
        <v>215</v>
      </c>
      <c r="D41" s="28" t="s">
        <v>154</v>
      </c>
    </row>
    <row r="42" spans="2:4" x14ac:dyDescent="0.25">
      <c r="B42" s="27">
        <v>11</v>
      </c>
      <c r="C42" s="27" t="s">
        <v>97</v>
      </c>
      <c r="D42" s="28" t="s">
        <v>223</v>
      </c>
    </row>
    <row r="43" spans="2:4" x14ac:dyDescent="0.25">
      <c r="B43" s="27">
        <v>12</v>
      </c>
      <c r="C43" s="27" t="s">
        <v>156</v>
      </c>
      <c r="D43" s="28" t="s">
        <v>224</v>
      </c>
    </row>
    <row r="44" spans="2:4" x14ac:dyDescent="0.25">
      <c r="B44" s="27">
        <v>13</v>
      </c>
      <c r="C44" s="27" t="s">
        <v>125</v>
      </c>
      <c r="D44" s="28" t="s">
        <v>224</v>
      </c>
    </row>
    <row r="45" spans="2:4" x14ac:dyDescent="0.25">
      <c r="B45" s="27">
        <v>14</v>
      </c>
      <c r="C45" s="27" t="s">
        <v>138</v>
      </c>
      <c r="D45" s="28" t="s">
        <v>224</v>
      </c>
    </row>
    <row r="46" spans="2:4" x14ac:dyDescent="0.25">
      <c r="B46" s="27">
        <v>15</v>
      </c>
      <c r="C46" s="27" t="s">
        <v>156</v>
      </c>
      <c r="D46" s="28" t="s">
        <v>225</v>
      </c>
    </row>
    <row r="47" spans="2:4" x14ac:dyDescent="0.25">
      <c r="B47" s="27">
        <v>16</v>
      </c>
      <c r="C47" s="27" t="s">
        <v>156</v>
      </c>
      <c r="D47" s="28" t="s">
        <v>225</v>
      </c>
    </row>
    <row r="48" spans="2:4" x14ac:dyDescent="0.25">
      <c r="B48" s="27">
        <v>17</v>
      </c>
      <c r="C48" s="27" t="s">
        <v>216</v>
      </c>
      <c r="D48" s="28" t="s">
        <v>226</v>
      </c>
    </row>
    <row r="49" spans="2:4" x14ac:dyDescent="0.25">
      <c r="B49" s="27">
        <v>18</v>
      </c>
      <c r="C49" s="27" t="s">
        <v>120</v>
      </c>
      <c r="D49" s="28" t="s">
        <v>226</v>
      </c>
    </row>
    <row r="50" spans="2:4" x14ac:dyDescent="0.25">
      <c r="B50" s="27">
        <v>19</v>
      </c>
      <c r="C50" s="27" t="s">
        <v>101</v>
      </c>
      <c r="D50" s="28" t="s">
        <v>226</v>
      </c>
    </row>
    <row r="51" spans="2:4" x14ac:dyDescent="0.25">
      <c r="B51" s="27">
        <v>20</v>
      </c>
      <c r="C51" s="27" t="s">
        <v>217</v>
      </c>
      <c r="D51" s="28" t="s">
        <v>226</v>
      </c>
    </row>
    <row r="52" spans="2:4" x14ac:dyDescent="0.25">
      <c r="B52" s="27">
        <v>21</v>
      </c>
      <c r="C52" s="27" t="s">
        <v>218</v>
      </c>
      <c r="D52" s="28" t="s">
        <v>227</v>
      </c>
    </row>
    <row r="53" spans="2:4" x14ac:dyDescent="0.25">
      <c r="B53" s="27">
        <v>22</v>
      </c>
      <c r="C53" s="27" t="s">
        <v>144</v>
      </c>
      <c r="D53" s="28" t="s">
        <v>227</v>
      </c>
    </row>
    <row r="54" spans="2:4" x14ac:dyDescent="0.25">
      <c r="B54" s="27">
        <v>23</v>
      </c>
      <c r="C54" s="27" t="s">
        <v>93</v>
      </c>
      <c r="D54" t="s">
        <v>228</v>
      </c>
    </row>
    <row r="55" spans="2:4" x14ac:dyDescent="0.25">
      <c r="B55" s="27">
        <v>24</v>
      </c>
      <c r="C55" s="27" t="s">
        <v>219</v>
      </c>
      <c r="D55" t="s">
        <v>228</v>
      </c>
    </row>
    <row r="56" spans="2:4" x14ac:dyDescent="0.25">
      <c r="B56" s="27">
        <v>25</v>
      </c>
      <c r="C56" s="27" t="s">
        <v>220</v>
      </c>
      <c r="D56" t="s">
        <v>229</v>
      </c>
    </row>
  </sheetData>
  <conditionalFormatting sqref="D2:D25">
    <cfRule type="containsText" dxfId="0" priority="1" operator="containsText" text="Resuelto">
      <formula>NOT(ISERROR(SEARCH("Resuelto",D2)))</formula>
    </cfRule>
  </conditionalFormatting>
  <pageMargins left="0.7" right="0.7" top="0.75" bottom="0.75" header="0.3" footer="0.3"/>
  <pageSetup orientation="portrait" r:id="rId1"/>
  <ignoredErrors>
    <ignoredError sqref="J6" formulaRange="1"/>
  </ignoredErrors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784F6A-5DD0-4CD9-9CCB-F5AB74E04C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ticket_mantto</vt:lpstr>
      <vt:lpstr>correos</vt:lpstr>
      <vt:lpstr>Tickets Febrebro</vt:lpstr>
      <vt:lpstr>Tickets 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Isaias Yanes</dc:creator>
  <cp:lastModifiedBy>Carlos Granadeño</cp:lastModifiedBy>
  <dcterms:created xsi:type="dcterms:W3CDTF">2025-11-17T16:10:17Z</dcterms:created>
  <dcterms:modified xsi:type="dcterms:W3CDTF">2026-03-19T21:01:36Z</dcterms:modified>
</cp:coreProperties>
</file>